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D:\Projects\Excel\"/>
    </mc:Choice>
  </mc:AlternateContent>
  <xr:revisionPtr revIDLastSave="0" documentId="13_ncr:1_{08C4FFB3-A3A2-46C6-9F81-B52A948D7827}" xr6:coauthVersionLast="47" xr6:coauthVersionMax="47" xr10:uidLastSave="{00000000-0000-0000-0000-000000000000}"/>
  <bookViews>
    <workbookView xWindow="-108" yWindow="-108" windowWidth="23256" windowHeight="13176" tabRatio="392" activeTab="2" xr2:uid="{00000000-000D-0000-FFFF-FFFF00000000}"/>
  </bookViews>
  <sheets>
    <sheet name="cleaned_data" sheetId="18" r:id="rId1"/>
    <sheet name="analysis_pivots" sheetId="8" r:id="rId2"/>
    <sheet name="dashboard" sheetId="16" r:id="rId3"/>
  </sheets>
  <definedNames>
    <definedName name="_xlchart.v1.0" hidden="1">analysis_pivots!$AW$11:$AW$14</definedName>
    <definedName name="_xlchart.v1.1" hidden="1">analysis_pivots!$AX$11:$AX$14</definedName>
    <definedName name="ExternalData_1" localSheetId="0" hidden="1">cleaned_data!$A$1:$W$127</definedName>
    <definedName name="Slicer_الحالة">#N/A</definedName>
    <definedName name="Slicer_منصة_البيع">#N/A</definedName>
    <definedName name="Slicer_نوع_العميل">#N/A</definedName>
  </definedNames>
  <calcPr calcId="191028"/>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9" i="8" l="1" a="1"/>
  <c r="AH19" i="8" s="1"/>
  <c r="Z15" i="8" a="1"/>
  <c r="Z15" i="8" s="1"/>
  <c r="AP9" i="8" a="1"/>
  <c r="AP9" i="8" s="1"/>
  <c r="AW11" i="8" a="1"/>
  <c r="AW11" i="8" s="1"/>
  <c r="BC8" i="8" a="1"/>
  <c r="BC8" i="8" s="1"/>
  <c r="BI13" i="8" a="1"/>
  <c r="BI13" i="8" s="1"/>
  <c r="O2" i="18"/>
  <c r="O3" i="18"/>
  <c r="O4" i="18"/>
  <c r="O5" i="18"/>
  <c r="O6" i="18"/>
  <c r="O7" i="18"/>
  <c r="O8" i="18"/>
  <c r="O9" i="18"/>
  <c r="O10" i="18"/>
  <c r="O11" i="18"/>
  <c r="O12" i="18"/>
  <c r="O13" i="18"/>
  <c r="O14" i="18"/>
  <c r="O15"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56" i="18"/>
  <c r="O57" i="18"/>
  <c r="O58" i="18"/>
  <c r="O59" i="18"/>
  <c r="O60" i="18"/>
  <c r="O61" i="18"/>
  <c r="O62" i="18"/>
  <c r="O63" i="18"/>
  <c r="O64" i="18"/>
  <c r="O65" i="18"/>
  <c r="O66" i="18"/>
  <c r="O67" i="18"/>
  <c r="O68" i="18"/>
  <c r="O69" i="18"/>
  <c r="O70" i="18"/>
  <c r="O71" i="18"/>
  <c r="O72" i="18"/>
  <c r="O73" i="18"/>
  <c r="O74" i="18"/>
  <c r="O75" i="18"/>
  <c r="O76" i="18"/>
  <c r="O77" i="18"/>
  <c r="O78" i="18"/>
  <c r="O79" i="18"/>
  <c r="O80" i="18"/>
  <c r="O81" i="18"/>
  <c r="O82" i="18"/>
  <c r="O83" i="18"/>
  <c r="O84" i="18"/>
  <c r="O85" i="18"/>
  <c r="O86" i="18"/>
  <c r="O87" i="18"/>
  <c r="O88" i="18"/>
  <c r="O89" i="18"/>
  <c r="O90" i="18"/>
  <c r="O91" i="18"/>
  <c r="O92" i="18"/>
  <c r="O93" i="18"/>
  <c r="O94" i="18"/>
  <c r="O95" i="18"/>
  <c r="O96" i="18"/>
  <c r="O97" i="18"/>
  <c r="O98" i="18"/>
  <c r="O99" i="18"/>
  <c r="O100" i="18"/>
  <c r="O101" i="18"/>
  <c r="O102" i="18"/>
  <c r="O103" i="18"/>
  <c r="O104" i="18"/>
  <c r="O105" i="18"/>
  <c r="O106" i="18"/>
  <c r="O107" i="18"/>
  <c r="O108" i="18"/>
  <c r="O109" i="18"/>
  <c r="O110" i="18"/>
  <c r="O111" i="18"/>
  <c r="O112" i="18"/>
  <c r="O113" i="18"/>
  <c r="O114" i="18"/>
  <c r="O115" i="18"/>
  <c r="O116" i="18"/>
  <c r="O117" i="18"/>
  <c r="O118" i="18"/>
  <c r="O119" i="18"/>
  <c r="O120" i="18"/>
  <c r="O121" i="18"/>
  <c r="O122" i="18"/>
  <c r="O123" i="18"/>
  <c r="O124" i="18"/>
  <c r="O125" i="18"/>
  <c r="O126" i="18"/>
  <c r="O127" i="18"/>
  <c r="P2" i="18"/>
  <c r="Q2" i="18" s="1"/>
  <c r="P3" i="18"/>
  <c r="P4" i="18"/>
  <c r="P5" i="18"/>
  <c r="Q5" i="18" s="1"/>
  <c r="P6" i="18"/>
  <c r="P7" i="18"/>
  <c r="P8" i="18"/>
  <c r="P9" i="18"/>
  <c r="P10" i="18"/>
  <c r="Q10" i="18" s="1"/>
  <c r="P11" i="18"/>
  <c r="Q11" i="18" s="1"/>
  <c r="P12" i="18"/>
  <c r="P13" i="18"/>
  <c r="Q13" i="18" s="1"/>
  <c r="P14" i="18"/>
  <c r="P15" i="18"/>
  <c r="P16" i="18"/>
  <c r="P17" i="18"/>
  <c r="P18" i="18"/>
  <c r="Q18" i="18" s="1"/>
  <c r="P19" i="18"/>
  <c r="Q19" i="18" s="1"/>
  <c r="P20" i="18"/>
  <c r="P21" i="18"/>
  <c r="Q21" i="18" s="1"/>
  <c r="P22" i="18"/>
  <c r="P23" i="18"/>
  <c r="P24" i="18"/>
  <c r="P25" i="18"/>
  <c r="P26" i="18"/>
  <c r="Q26" i="18" s="1"/>
  <c r="P27" i="18"/>
  <c r="Q27" i="18" s="1"/>
  <c r="P28" i="18"/>
  <c r="P29" i="18"/>
  <c r="Q29" i="18" s="1"/>
  <c r="P30" i="18"/>
  <c r="P31" i="18"/>
  <c r="P32" i="18"/>
  <c r="P33" i="18"/>
  <c r="P34" i="18"/>
  <c r="Q34" i="18" s="1"/>
  <c r="P35" i="18"/>
  <c r="Q35" i="18" s="1"/>
  <c r="P36" i="18"/>
  <c r="P37" i="18"/>
  <c r="P38" i="18"/>
  <c r="P39" i="18"/>
  <c r="P40" i="18"/>
  <c r="P41" i="18"/>
  <c r="P42" i="18"/>
  <c r="Q42" i="18" s="1"/>
  <c r="P43" i="18"/>
  <c r="Q43" i="18" s="1"/>
  <c r="P44" i="18"/>
  <c r="P45" i="18"/>
  <c r="P46" i="18"/>
  <c r="Q46" i="18" s="1"/>
  <c r="P47" i="18"/>
  <c r="P48" i="18"/>
  <c r="P49" i="18"/>
  <c r="P50" i="18"/>
  <c r="Q50" i="18" s="1"/>
  <c r="P51" i="18"/>
  <c r="Q51" i="18" s="1"/>
  <c r="P52" i="18"/>
  <c r="P53" i="18"/>
  <c r="P54" i="18"/>
  <c r="P55" i="18"/>
  <c r="P56" i="18"/>
  <c r="P57" i="18"/>
  <c r="P58" i="18"/>
  <c r="Q58" i="18" s="1"/>
  <c r="P59" i="18"/>
  <c r="Q59" i="18" s="1"/>
  <c r="P60" i="18"/>
  <c r="P61" i="18"/>
  <c r="Q61" i="18" s="1"/>
  <c r="P62" i="18"/>
  <c r="P63" i="18"/>
  <c r="P64" i="18"/>
  <c r="P65" i="18"/>
  <c r="P66" i="18"/>
  <c r="Q66" i="18" s="1"/>
  <c r="P67" i="18"/>
  <c r="Q67" i="18" s="1"/>
  <c r="P68" i="18"/>
  <c r="P69" i="18"/>
  <c r="P70" i="18"/>
  <c r="P71" i="18"/>
  <c r="Q71" i="18" s="1"/>
  <c r="P72" i="18"/>
  <c r="P73" i="18"/>
  <c r="P74" i="18"/>
  <c r="Q74" i="18" s="1"/>
  <c r="P75" i="18"/>
  <c r="Q75" i="18" s="1"/>
  <c r="P76" i="18"/>
  <c r="P77" i="18"/>
  <c r="P78" i="18"/>
  <c r="P79" i="18"/>
  <c r="P80" i="18"/>
  <c r="P81" i="18"/>
  <c r="P82" i="18"/>
  <c r="Q82" i="18" s="1"/>
  <c r="P83" i="18"/>
  <c r="Q83" i="18" s="1"/>
  <c r="P84" i="18"/>
  <c r="P85" i="18"/>
  <c r="P86" i="18"/>
  <c r="P87" i="18"/>
  <c r="Q87" i="18" s="1"/>
  <c r="P88" i="18"/>
  <c r="P89" i="18"/>
  <c r="P90" i="18"/>
  <c r="Q90" i="18" s="1"/>
  <c r="P91" i="18"/>
  <c r="Q91" i="18" s="1"/>
  <c r="P92" i="18"/>
  <c r="P93" i="18"/>
  <c r="P94" i="18"/>
  <c r="P95" i="18"/>
  <c r="Q95" i="18" s="1"/>
  <c r="P96" i="18"/>
  <c r="P97" i="18"/>
  <c r="P98" i="18"/>
  <c r="Q98" i="18" s="1"/>
  <c r="P99" i="18"/>
  <c r="Q99" i="18" s="1"/>
  <c r="P100" i="18"/>
  <c r="P101" i="18"/>
  <c r="P102" i="18"/>
  <c r="Q102" i="18" s="1"/>
  <c r="P103" i="18"/>
  <c r="P104" i="18"/>
  <c r="P105" i="18"/>
  <c r="P106" i="18"/>
  <c r="Q106" i="18" s="1"/>
  <c r="P107" i="18"/>
  <c r="Q107" i="18" s="1"/>
  <c r="P108" i="18"/>
  <c r="P109" i="18"/>
  <c r="Q109" i="18" s="1"/>
  <c r="P110" i="18"/>
  <c r="P111" i="18"/>
  <c r="Q111" i="18" s="1"/>
  <c r="P112" i="18"/>
  <c r="P113" i="18"/>
  <c r="P114" i="18"/>
  <c r="Q114" i="18" s="1"/>
  <c r="P115" i="18"/>
  <c r="Q115" i="18" s="1"/>
  <c r="P116" i="18"/>
  <c r="P117" i="18"/>
  <c r="P118" i="18"/>
  <c r="Q118" i="18" s="1"/>
  <c r="P119" i="18"/>
  <c r="Q119" i="18" s="1"/>
  <c r="P120" i="18"/>
  <c r="P121" i="18"/>
  <c r="P122" i="18"/>
  <c r="Q122" i="18" s="1"/>
  <c r="P123" i="18"/>
  <c r="Q123" i="18" s="1"/>
  <c r="P124" i="18"/>
  <c r="P125" i="18"/>
  <c r="P126" i="18"/>
  <c r="Q126" i="18" s="1"/>
  <c r="P127" i="18"/>
  <c r="Q127" i="18" s="1"/>
  <c r="Q4" i="18"/>
  <c r="Q6" i="18"/>
  <c r="Q7" i="18"/>
  <c r="Q12" i="18"/>
  <c r="Q14" i="18"/>
  <c r="Q15" i="18"/>
  <c r="Q20" i="18"/>
  <c r="Q22" i="18"/>
  <c r="Q23" i="18"/>
  <c r="Q25" i="18"/>
  <c r="Q28" i="18"/>
  <c r="Q30" i="18"/>
  <c r="Q31" i="18"/>
  <c r="Q33" i="18"/>
  <c r="Q36" i="18"/>
  <c r="Q37" i="18"/>
  <c r="Q38" i="18"/>
  <c r="Q39" i="18"/>
  <c r="Q41" i="18"/>
  <c r="Q44" i="18"/>
  <c r="Q45" i="18"/>
  <c r="Q47" i="18"/>
  <c r="Q48" i="18"/>
  <c r="Q52" i="18"/>
  <c r="Q53" i="18"/>
  <c r="Q54" i="18"/>
  <c r="Q55" i="18"/>
  <c r="Q56" i="18"/>
  <c r="Q57" i="18"/>
  <c r="Q60" i="18"/>
  <c r="Q62" i="18"/>
  <c r="Q63" i="18"/>
  <c r="Q68" i="18"/>
  <c r="Q69" i="18"/>
  <c r="Q70" i="18"/>
  <c r="Q76" i="18"/>
  <c r="Q77" i="18"/>
  <c r="Q78" i="18"/>
  <c r="Q79" i="18"/>
  <c r="Q84" i="18"/>
  <c r="Q85" i="18"/>
  <c r="Q86" i="18"/>
  <c r="Q92" i="18"/>
  <c r="Q93" i="18"/>
  <c r="Q94" i="18"/>
  <c r="Q96" i="18"/>
  <c r="Q100" i="18"/>
  <c r="Q101" i="18"/>
  <c r="Q103" i="18"/>
  <c r="Q108" i="18"/>
  <c r="Q110" i="18"/>
  <c r="Q116" i="18"/>
  <c r="Q117" i="18"/>
  <c r="Q120" i="18"/>
  <c r="Q121" i="18"/>
  <c r="Q124" i="18"/>
  <c r="Q125" i="18"/>
  <c r="Z16" i="8" a="1"/>
  <c r="Z16" i="8" s="1"/>
  <c r="Z17" i="8" a="1"/>
  <c r="Z17" i="8" s="1"/>
  <c r="Z18" i="8" a="1"/>
  <c r="Z18" i="8" s="1"/>
  <c r="Z19" i="8" a="1"/>
  <c r="Z19" i="8" s="1"/>
  <c r="Z20" i="8" a="1"/>
  <c r="Z20" i="8" s="1"/>
  <c r="Z21" i="8" a="1"/>
  <c r="Z21" i="8" s="1"/>
  <c r="Z22" i="8" a="1"/>
  <c r="Z22" i="8" s="1"/>
  <c r="N8" i="8"/>
  <c r="B7" i="8"/>
  <c r="N9" i="8"/>
  <c r="S8" i="8"/>
  <c r="F7" i="8"/>
  <c r="Q3" i="18" l="1"/>
  <c r="Q113" i="18"/>
  <c r="Q105" i="18"/>
  <c r="Q97" i="18"/>
  <c r="Q89" i="18"/>
  <c r="Q81" i="18"/>
  <c r="Q73" i="18"/>
  <c r="Q65" i="18"/>
  <c r="Q49" i="18"/>
  <c r="Q17" i="18"/>
  <c r="Q9" i="18"/>
  <c r="Q112" i="18"/>
  <c r="Q104" i="18"/>
  <c r="Q88" i="18"/>
  <c r="Q80" i="18"/>
  <c r="Q72" i="18"/>
  <c r="Q64" i="18"/>
  <c r="Q40" i="18"/>
  <c r="Q32" i="18"/>
  <c r="Q24" i="18"/>
  <c r="Q16" i="18"/>
  <c r="Q8"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B90C0E-B0C2-412E-8187-340CBAE517F6}"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 id="2" xr16:uid="{ED2802EB-8187-4676-AE55-B77D6BA80C92}"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 id="3" xr16:uid="{58C01795-3454-4C8A-9FC5-DDC601577B18}" keepAlive="1" name="Query - x" description="Connection to the 'x' query in the workbook." type="5" refreshedVersion="0" background="1">
    <dbPr connection="Provider=Microsoft.Mashup.OleDb.1;Data Source=$Workbook$;Location=x;Extended Properties=&quot;&quot;" command="SELECT * FROM [x]"/>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<sst xmlns="http://schemas.openxmlformats.org/spreadsheetml/2006/main" count="1506" uniqueCount="281">
  <si>
    <t>العنوان</t>
  </si>
  <si>
    <t>المنتج</t>
  </si>
  <si>
    <t>تاريخ التسليم</t>
  </si>
  <si>
    <t xml:space="preserve">منصة البيع </t>
  </si>
  <si>
    <t>هومزمارت</t>
  </si>
  <si>
    <t xml:space="preserve">سعر البيع </t>
  </si>
  <si>
    <t xml:space="preserve">سرير منطبق الحديد ابيض والقماش ابيض </t>
  </si>
  <si>
    <t xml:space="preserve">سرير منطبق اسود والقماش اسود </t>
  </si>
  <si>
    <t xml:space="preserve">سرير كيفينج مقاس 90 لون ازرق </t>
  </si>
  <si>
    <t xml:space="preserve">ترابيزه قهوه متحركه </t>
  </si>
  <si>
    <t xml:space="preserve">سرير نوفال متر رمادى </t>
  </si>
  <si>
    <t xml:space="preserve">كنبه سرير رمادى </t>
  </si>
  <si>
    <t xml:space="preserve">سرير فردى ابيض </t>
  </si>
  <si>
    <t>العباسيه</t>
  </si>
  <si>
    <t>تاكى</t>
  </si>
  <si>
    <t xml:space="preserve">ركنه </t>
  </si>
  <si>
    <t>٢ كنبه سحاره بمخدع</t>
  </si>
  <si>
    <t xml:space="preserve">٢ كنبه سحاره بدون مخدع </t>
  </si>
  <si>
    <t>سرير نوفال ابيض مقاس ٨٠</t>
  </si>
  <si>
    <t xml:space="preserve">سرير كينج ابيض </t>
  </si>
  <si>
    <t>شيك هومز</t>
  </si>
  <si>
    <t xml:space="preserve">سرير كينج اسود </t>
  </si>
  <si>
    <t xml:space="preserve">٢ سرير كيفنج ١٢٠ اسود </t>
  </si>
  <si>
    <t xml:space="preserve">سرير كينج ابيض مقاس ٨٠ التصميم الجديد </t>
  </si>
  <si>
    <t xml:space="preserve">ترابيزه قهوه علويه جديده </t>
  </si>
  <si>
    <t xml:space="preserve">٢ فوتيه فنيسيا </t>
  </si>
  <si>
    <t>سرير فردى خشب موسكى الحديد ابيض مقاس ٨٠</t>
  </si>
  <si>
    <t>القاهره الجديده</t>
  </si>
  <si>
    <t>٤سرير فردى خشب موسكى الحديد ابيض مقاس ٨٠</t>
  </si>
  <si>
    <t>سرير اسبانى ابيض ١٢٠</t>
  </si>
  <si>
    <t xml:space="preserve">سرير نوفال  ٩٠ اسود </t>
  </si>
  <si>
    <t xml:space="preserve">            ٢ سرير كيفنج ١٠٠ اسود </t>
  </si>
  <si>
    <t xml:space="preserve">سرير ٣ ادورا اسود مقاس ١٠٠ </t>
  </si>
  <si>
    <t xml:space="preserve">٢ سرير ارفيل ١٢٠ اسود </t>
  </si>
  <si>
    <t>٢ سريرفورجينا خشب موسكى ابيض مقاس ١٢٠</t>
  </si>
  <si>
    <t>الشروق</t>
  </si>
  <si>
    <t xml:space="preserve">سرير كيفنج دورين مقاس ٨٠ ابيض </t>
  </si>
  <si>
    <t xml:space="preserve">سرير ٣ ادوار ابيض مقاس ٨٠ ابيض </t>
  </si>
  <si>
    <t>سرير استيل ازرق مقاس ١٤٠</t>
  </si>
  <si>
    <t>سرير اسبانى اسود مقاس ١٢٠</t>
  </si>
  <si>
    <t xml:space="preserve">سرير كينج ١٢٠ بنفسجى </t>
  </si>
  <si>
    <t xml:space="preserve">سرير كوين مقاس ١٤٠ دهبي ورمادى </t>
  </si>
  <si>
    <t xml:space="preserve">كنبه سرير ٤ حركه </t>
  </si>
  <si>
    <t>سرير منطبق اسود حديد وقماش</t>
  </si>
  <si>
    <t>المعادى</t>
  </si>
  <si>
    <t xml:space="preserve">سرير ٣ ادوار اسود مقاس ٩٠ </t>
  </si>
  <si>
    <t xml:space="preserve">سرير كيفنج دورين مقاس ١٢٠ رمادى </t>
  </si>
  <si>
    <t>الغردقه</t>
  </si>
  <si>
    <t xml:space="preserve">سرير منطبق اسود حديد ومعدن </t>
  </si>
  <si>
    <t xml:space="preserve">سرير اسبانى  ١٤٠ اسود وبيج </t>
  </si>
  <si>
    <t xml:space="preserve">تربيزه قهوه مرتفعه برف سحاب </t>
  </si>
  <si>
    <t xml:space="preserve">سرير نوفال ١٠٠ رمادى </t>
  </si>
  <si>
    <t>الرحاب</t>
  </si>
  <si>
    <t xml:space="preserve"> ٢. سرير فورجينا ابيض مقاس ١٢٠</t>
  </si>
  <si>
    <t xml:space="preserve">   ٢. سرير اسبانى ابيض ١٢٠</t>
  </si>
  <si>
    <t>العبور</t>
  </si>
  <si>
    <t xml:space="preserve">سرير نوفال مقاس ٨٠ ابيض </t>
  </si>
  <si>
    <t>تربيزه قهوه ٢ رافع</t>
  </si>
  <si>
    <t xml:space="preserve">سرير كيفنج ١٢٠ رمادى </t>
  </si>
  <si>
    <t>العين السخنه</t>
  </si>
  <si>
    <t>سرير منطببق اسود وقماش اسود</t>
  </si>
  <si>
    <t xml:space="preserve">ترابيزه قهوه علويه برف سحاب </t>
  </si>
  <si>
    <t>سرير</t>
  </si>
  <si>
    <t>منطبق</t>
  </si>
  <si>
    <t>فردى</t>
  </si>
  <si>
    <t>ركنة</t>
  </si>
  <si>
    <t>سحارة</t>
  </si>
  <si>
    <t>ركنة بسرير</t>
  </si>
  <si>
    <t>كرسى</t>
  </si>
  <si>
    <t>4*1</t>
  </si>
  <si>
    <t>دورين</t>
  </si>
  <si>
    <t>ابيض</t>
  </si>
  <si>
    <t>اسود</t>
  </si>
  <si>
    <t>ازرق</t>
  </si>
  <si>
    <t>ثلاثه ادوار</t>
  </si>
  <si>
    <t>رمادى</t>
  </si>
  <si>
    <t>بنفسجى</t>
  </si>
  <si>
    <t>المقاس</t>
  </si>
  <si>
    <t>دهبي</t>
  </si>
  <si>
    <t>اللون المعدن</t>
  </si>
  <si>
    <t>لون القماش</t>
  </si>
  <si>
    <t>2 ميكانزم</t>
  </si>
  <si>
    <t>بمكتبة</t>
  </si>
  <si>
    <t>رف سحاب</t>
  </si>
  <si>
    <t>الحالة</t>
  </si>
  <si>
    <t>كنبه</t>
  </si>
  <si>
    <t xml:space="preserve">اسود </t>
  </si>
  <si>
    <t>السويس</t>
  </si>
  <si>
    <t>ملون</t>
  </si>
  <si>
    <t>فنيسيا</t>
  </si>
  <si>
    <t>رصاصي مشجر</t>
  </si>
  <si>
    <t>بيج</t>
  </si>
  <si>
    <t>شيزلونج</t>
  </si>
  <si>
    <t xml:space="preserve">نبيتى </t>
  </si>
  <si>
    <t>الزمالك</t>
  </si>
  <si>
    <t xml:space="preserve">بترولى </t>
  </si>
  <si>
    <t>بينك</t>
  </si>
  <si>
    <t>لاغى</t>
  </si>
  <si>
    <t>خشب بنى فاتح</t>
  </si>
  <si>
    <t>الوان</t>
  </si>
  <si>
    <t>بترولى</t>
  </si>
  <si>
    <t>منزلى</t>
  </si>
  <si>
    <t>مدينتى</t>
  </si>
  <si>
    <t>المخزن</t>
  </si>
  <si>
    <t xml:space="preserve">فردى </t>
  </si>
  <si>
    <t>t1</t>
  </si>
  <si>
    <t>ابيض في بنى غامق</t>
  </si>
  <si>
    <t>بنى غامق</t>
  </si>
  <si>
    <t xml:space="preserve">بنى غامق </t>
  </si>
  <si>
    <t xml:space="preserve">بيج </t>
  </si>
  <si>
    <t>القطاميه</t>
  </si>
  <si>
    <t>روك ١٠</t>
  </si>
  <si>
    <t>التجمع الخامس</t>
  </si>
  <si>
    <t>أسم العميل</t>
  </si>
  <si>
    <t>الاسم</t>
  </si>
  <si>
    <t xml:space="preserve">طريقه الدفع </t>
  </si>
  <si>
    <t>ميعاد الطلب</t>
  </si>
  <si>
    <t>ميعاد التسليم</t>
  </si>
  <si>
    <t>مسبق الدفع</t>
  </si>
  <si>
    <t>محمود</t>
  </si>
  <si>
    <t>سعيد</t>
  </si>
  <si>
    <t>كيفنج</t>
  </si>
  <si>
    <t>ساندرا</t>
  </si>
  <si>
    <t>تربيزه</t>
  </si>
  <si>
    <t>نوفال</t>
  </si>
  <si>
    <t>فيس بوك</t>
  </si>
  <si>
    <t>yilmaz</t>
  </si>
  <si>
    <t>ellho elkafy</t>
  </si>
  <si>
    <t>كينج</t>
  </si>
  <si>
    <t>فورجينا</t>
  </si>
  <si>
    <t>تم التسليم</t>
  </si>
  <si>
    <t>فنسيا</t>
  </si>
  <si>
    <t>صفاء</t>
  </si>
  <si>
    <t>حسن حازم</t>
  </si>
  <si>
    <t>اسبانى</t>
  </si>
  <si>
    <t>اوسكار راتن</t>
  </si>
  <si>
    <t>حساب شركه</t>
  </si>
  <si>
    <t>ارفيل</t>
  </si>
  <si>
    <t>صفاء الحكيم</t>
  </si>
  <si>
    <t>يوسف شناوى</t>
  </si>
  <si>
    <t>عبير نور الدين</t>
  </si>
  <si>
    <t>وائل صادق</t>
  </si>
  <si>
    <t>كورين</t>
  </si>
  <si>
    <t>ميار خورشد</t>
  </si>
  <si>
    <t>ساره</t>
  </si>
  <si>
    <t>حسام عبدون</t>
  </si>
  <si>
    <t>رحاب</t>
  </si>
  <si>
    <t>mohannad</t>
  </si>
  <si>
    <t>Mohamed Ayman</t>
  </si>
  <si>
    <t>اسامه</t>
  </si>
  <si>
    <t>اسود وبنى</t>
  </si>
  <si>
    <t>ولاء بدوى</t>
  </si>
  <si>
    <t>عبد الرحمن يسري</t>
  </si>
  <si>
    <t>4×1</t>
  </si>
  <si>
    <t>الحج محمد السويس</t>
  </si>
  <si>
    <t>فانتاستك</t>
  </si>
  <si>
    <t>اسزد</t>
  </si>
  <si>
    <t>عمرو الأسود</t>
  </si>
  <si>
    <t>مخزن شيك هومز</t>
  </si>
  <si>
    <t>keira</t>
  </si>
  <si>
    <t xml:space="preserve">نوفال </t>
  </si>
  <si>
    <t>١٤٠/١٠٠</t>
  </si>
  <si>
    <t>tarek</t>
  </si>
  <si>
    <t>reem</t>
  </si>
  <si>
    <t>١٠٠/١٤٠</t>
  </si>
  <si>
    <t>هشام سامى</t>
  </si>
  <si>
    <t>بلحه</t>
  </si>
  <si>
    <t>فانتستيك</t>
  </si>
  <si>
    <t>فاطمه محمد</t>
  </si>
  <si>
    <t>بولا هومزمارت</t>
  </si>
  <si>
    <t>4800+300شحن</t>
  </si>
  <si>
    <t>5000+300شحن</t>
  </si>
  <si>
    <t>ارينا</t>
  </si>
  <si>
    <t>حماده</t>
  </si>
  <si>
    <t>صفاء عبد الباقي</t>
  </si>
  <si>
    <t xml:space="preserve">كينج </t>
  </si>
  <si>
    <t xml:space="preserve">دورين </t>
  </si>
  <si>
    <t xml:space="preserve">كيفنج </t>
  </si>
  <si>
    <t>امريكى</t>
  </si>
  <si>
    <t>محمد حمدى</t>
  </si>
  <si>
    <t xml:space="preserve">كوين </t>
  </si>
  <si>
    <t>5700+300شحن</t>
  </si>
  <si>
    <t xml:space="preserve">اسبانى </t>
  </si>
  <si>
    <t>رنا ميلاد</t>
  </si>
  <si>
    <t>مكتبه</t>
  </si>
  <si>
    <t>محمد ناجى</t>
  </si>
  <si>
    <t xml:space="preserve">دوران </t>
  </si>
  <si>
    <t>ميكانزم</t>
  </si>
  <si>
    <t>احمد عبد الستار</t>
  </si>
  <si>
    <t>نور</t>
  </si>
  <si>
    <t>تامر</t>
  </si>
  <si>
    <t>٢ ميكانزم</t>
  </si>
  <si>
    <t>هناء اسامه</t>
  </si>
  <si>
    <t>مريم عنان</t>
  </si>
  <si>
    <t>دوران</t>
  </si>
  <si>
    <t>حمدى ذكرى</t>
  </si>
  <si>
    <t>الصنف</t>
  </si>
  <si>
    <t>نوع الصنف</t>
  </si>
  <si>
    <t>نوع العميل</t>
  </si>
  <si>
    <t>خالد عبد القوى</t>
  </si>
  <si>
    <t>زينا</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</si>
  <si>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</si>
  <si>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</si>
  <si>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</si>
  <si>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</si>
  <si>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</si>
  <si>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</si>
  <si>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</si>
  <si>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</si>
  <si>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</si>
  <si>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</si>
  <si>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</si>
  <si>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</si>
  <si>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</si>
  <si>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</si>
  <si>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</si>
  <si>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</si>
  <si>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</si>
  <si>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</si>
  <si>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</si>
  <si>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</si>
  <si>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</si>
  <si>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</si>
  <si>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</si>
  <si>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</si>
  <si>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</si>
  <si>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</si>
  <si>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</si>
  <si>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</si>
  <si>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</si>
  <si>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</si>
  <si>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</si>
  <si>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الجيزه</t>
  </si>
  <si>
    <t>أفراد</t>
  </si>
  <si>
    <t>شركات</t>
  </si>
  <si>
    <t>غير موجود</t>
  </si>
  <si>
    <t>كاش</t>
  </si>
  <si>
    <t>مده التسليم (المحدده)</t>
  </si>
  <si>
    <t>مده التسليم (الفعليه)</t>
  </si>
  <si>
    <t>Total Sales</t>
  </si>
  <si>
    <t xml:space="preserve">Sum of سعر البيع </t>
  </si>
  <si>
    <t xml:space="preserve">Average of سعر البيع </t>
  </si>
  <si>
    <t>Average Selling Price</t>
  </si>
  <si>
    <t>Row Labels</t>
  </si>
  <si>
    <t>Count of نوع العميل</t>
  </si>
  <si>
    <t>Company &amp; Individuals</t>
  </si>
  <si>
    <t>افراد</t>
  </si>
  <si>
    <t xml:space="preserve"> Delivery Time</t>
  </si>
  <si>
    <t>Average of مده التسليم (الفعليه)</t>
  </si>
  <si>
    <t>غير معروف</t>
  </si>
  <si>
    <t>اوسكار ريتن</t>
  </si>
  <si>
    <t>كيمت</t>
  </si>
  <si>
    <t>Count of الصنف</t>
  </si>
  <si>
    <t>Sales by Platform</t>
  </si>
  <si>
    <t>Orders by Region</t>
  </si>
  <si>
    <t>اسكندريه</t>
  </si>
  <si>
    <t>الساحل الشمالى</t>
  </si>
  <si>
    <t>مدينه نصر</t>
  </si>
  <si>
    <t>المقطم</t>
  </si>
  <si>
    <t>حدايق الاهرام</t>
  </si>
  <si>
    <t>لافيستا العين السخنه</t>
  </si>
  <si>
    <t>اسيوط</t>
  </si>
  <si>
    <t>شبرا</t>
  </si>
  <si>
    <t xml:space="preserve">Count of سعر البيع </t>
  </si>
  <si>
    <t>مدينه بدر</t>
  </si>
  <si>
    <t>ابو الغيط</t>
  </si>
  <si>
    <t>القناطر</t>
  </si>
  <si>
    <t>On-Time Delivery Rate</t>
  </si>
  <si>
    <t>حاله الطلب</t>
  </si>
  <si>
    <t>تأخر في التسليم</t>
  </si>
  <si>
    <t>تم في الموعد</t>
  </si>
  <si>
    <t>Count of حاله الطلب</t>
  </si>
  <si>
    <t>ملغي</t>
  </si>
  <si>
    <t>Payment Method</t>
  </si>
  <si>
    <t xml:space="preserve">Count of طريقه الدفع </t>
  </si>
  <si>
    <t>Count of الحالة</t>
  </si>
  <si>
    <t xml:space="preserve">Delivery Status Breakdown </t>
  </si>
  <si>
    <t>Top-Ordered Products</t>
  </si>
  <si>
    <t>مده التسليم (المحدده)2</t>
  </si>
  <si>
    <t>مده التسليم (الفعليه)3</t>
  </si>
  <si>
    <t>حاله الطلب4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</si>
</sst>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yyyy/mm/dd;@"/>
    <numFmt numFmtId="165" formatCode="_(* #,##0_);_(* \(#,##0\);_(* &quot;-&quot;??_);_(@_)"/>
  </numFmts>
  <fonts count="8" x14ac:knownFonts="1">
    <font>
      <sz val="11"/>
      <color theme="1"/>
      <name val="Calibri"/>
      <family val="2"/>
      <scheme val="minor"/>
    </font>
    <font>
      <sz val="11"/>
      <color theme="1"/>
      <name val="Calibri"/>
      <family val="2"/>
      <scheme val="minor"/>
    </font>
    <font>
      <sz val="18"/>
      <color theme="1"/>
      <name val="Calibri"/>
      <family val="2"/>
      <scheme val="minor"/>
    </font>
    <font>
      <sz val="20"/>
      <color theme="1"/>
      <name val="Calibri"/>
      <family val="2"/>
      <scheme val="minor"/>
    </font>
    <font>
      <sz val="11"/>
      <color rgb="FF000033"/>
      <name val="Calibri"/>
      <family val="2"/>
      <scheme val="minor"/>
    </font>
    <font>
      <b/>
      <sz val="14"/>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rgb="FF000033"/>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0" xfId="0" applyFill="1"/>
    <xf numFmtId="14" fontId="0" fillId="0" borderId="0" xfId="0" applyNumberFormat="1"/>
    <xf numFmtId="164" fontId="0" fillId="0" borderId="0" xfId="0" applyNumberFormat="1"/>
    <xf numFmtId="165" fontId="0" fillId="0" borderId="0" xfId="1" applyNumberFormat="1" applyFont="1"/>
    <xf numFmtId="165" fontId="0" fillId="0" borderId="0" xfId="0" applyNumberFormat="1"/>
    <xf numFmtId="0" fontId="4" fillId="2" borderId="0" xfId="0" applyFont="1" applyFill="1"/>
    <xf numFmtId="0" fontId="0" fillId="0" borderId="0" xfId="0" pivotButton="1"/>
    <xf numFmtId="0" fontId="0" fillId="0" borderId="0" xfId="0" applyAlignment="1">
      <alignment horizontal="left"/>
    </xf>
    <xf numFmtId="9" fontId="0" fillId="0" borderId="0" xfId="0" applyNumberFormat="1"/>
    <xf numFmtId="0" fontId="5" fillId="0" borderId="0" xfId="0" applyFont="1" applyAlignment="1">
      <alignment horizontal="center"/>
    </xf>
    <xf numFmtId="10" fontId="0" fillId="0" borderId="0" xfId="0" applyNumberFormat="1"/>
    <xf numFmtId="0" fontId="5" fillId="2" borderId="0" xfId="0" applyFont="1" applyFill="1" applyAlignment="1">
      <alignment horizontal="center"/>
    </xf>
    <xf numFmtId="9" fontId="0" fillId="0" borderId="0" xfId="2" applyFont="1"/>
    <xf numFmtId="0" fontId="7" fillId="0" borderId="0" xfId="0" applyFont="1"/>
    <xf numFmtId="0" fontId="3" fillId="0" borderId="0" xfId="0" applyFont="1" applyAlignment="1">
      <alignment horizontal="center"/>
    </xf>
    <xf numFmtId="0" fontId="2" fillId="0" borderId="0" xfId="0" applyFont="1" applyAlignment="1">
      <alignment horizontal="center"/>
    </xf>
    <xf numFmtId="0" fontId="5" fillId="0" borderId="0" xfId="0" applyFont="1" applyAlignment="1">
      <alignment horizontal="center"/>
    </xf>
    <xf numFmtId="0" fontId="0" fillId="0" borderId="0" xfId="0" applyNumberFormat="1"/>
  </cellXfs>
  <cellStyles count="3">
    <cellStyle name="Comma" xfId="1" builtinId="3"/>
    <cellStyle name="Normal" xfId="0" builtinId="0"/>
    <cellStyle name="Percent" xfId="2" builtinId="5"/>
  </cellStyles>
  <dxfs count="34">
    <dxf>
      <numFmt numFmtId="13" formatCode="0%"/>
    </dxf>
    <dxf>
      <numFmt numFmtId="13" formatCode="0%"/>
    </dxf>
    <dxf>
      <numFmt numFmtId="165" formatCode="_(* #,##0_);_(* \(#,##0\);_(* &quot;-&quot;??_);_(@_)"/>
    </dxf>
    <dxf>
      <numFmt numFmtId="13" formatCode="0%"/>
    </dxf>
    <dxf>
      <numFmt numFmtId="165" formatCode="_(* #,##0_);_(* \(#,##0\);_(* &quot;-&quot;??_);_(@_)"/>
    </dxf>
    <dxf>
      <numFmt numFmtId="165" formatCode="_(* #,##0_);_(* \(#,##0\);_(* &quot;-&quot;??_);_(@_)"/>
    </dxf>
    <dxf>
      <numFmt numFmtId="13" formatCode="0%"/>
    </dxf>
    <dxf>
      <numFmt numFmtId="165" formatCode="_(* #,##0_);_(* \(#,##0\);_(* &quot;-&quot;??_);_(@_)"/>
    </dxf>
    <dxf>
      <numFmt numFmtId="13" formatCode="0%"/>
    </dxf>
    <dxf>
      <numFmt numFmtId="13" formatCode="0%"/>
    </dxf>
    <dxf>
      <numFmt numFmtId="0" formatCode="General"/>
    </dxf>
    <dxf>
      <numFmt numFmtId="19" formatCode="yyyy/mm/dd"/>
    </dxf>
    <dxf>
      <numFmt numFmtId="19" formatCode="yyyy/mm/dd"/>
    </dxf>
    <dxf>
      <numFmt numFmtId="0" formatCode="General"/>
    </dxf>
    <dxf>
      <numFmt numFmtId="0" formatCode="General"/>
    </dxf>
    <dxf>
      <numFmt numFmtId="0" formatCode="General"/>
    </dxf>
    <dxf>
      <numFmt numFmtId="19" formatCode="yyyy/mm/dd"/>
    </dxf>
    <dxf>
      <numFmt numFmtId="165" formatCode="_(* #,##0_);_(* \(#,##0\);_(* &quot;-&quot;??_);_(@_)"/>
    </dxf>
    <dxf>
      <numFmt numFmtId="165"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0"/>
        <color rgb="FFA60303"/>
      </font>
      <fill>
        <patternFill>
          <bgColor rgb="FF182540"/>
        </patternFill>
      </fill>
    </dxf>
    <dxf>
      <font>
        <color rgb="FFA60303"/>
      </font>
    </dxf>
    <dxf>
      <font>
        <b/>
        <i val="0"/>
        <sz val="12"/>
      </font>
      <fill>
        <patternFill>
          <bgColor rgb="FF182540"/>
        </patternFill>
      </fill>
    </dxf>
    <dxf>
      <font>
        <b/>
        <i val="0"/>
        <sz val="11"/>
        <color rgb="FFA61F2B"/>
      </font>
    </dxf>
  </dxfs>
  <tableStyles count="5" defaultTableStyle="TableStyleMedium2" defaultPivotStyle="PivotStyleLight16">
    <tableStyle name="Invisible" pivot="0" table="0" count="0" xr9:uid="{AA73528B-8D85-432A-9172-AA70B5E8C669}"/>
    <tableStyle name="Slicer Style 1" pivot="0" table="0" count="1" xr9:uid="{9AB9B412-9123-42BD-A79D-F41B72396DEC}">
      <tableStyleElement type="wholeTable" dxfId="33"/>
    </tableStyle>
    <tableStyle name="Slicer Style 2" pivot="0" table="0" count="1" xr9:uid="{F647C585-5B0D-420B-A9C1-A7D85F5BC213}">
      <tableStyleElement type="wholeTable" dxfId="32"/>
    </tableStyle>
    <tableStyle name="Slicer Style 3" pivot="0" table="0" count="1" xr9:uid="{B3E4EA83-7177-4968-9F22-F6A95A75B8A0}">
      <tableStyleElement type="wholeTable" dxfId="31"/>
    </tableStyle>
    <tableStyle name="Slicer Style 4" pivot="0" table="0" count="1" xr9:uid="{FC2586A4-6E26-419C-AD5C-5EBC7E32ED0B}">
      <tableStyleElement type="wholeTable" dxfId="30"/>
    </tableStyle>
  </tableStyles>
  <colors>
    <mruColors>
      <color rgb="FFA60303"/>
      <color rgb="FF182540"/>
      <color rgb="FFA61F2B"/>
      <color rgb="FF000033"/>
      <color rgb="FFF2F2F2"/>
    </mruColors>
  </colors>
  <extLst>
    <ext xmlns:x14="http://schemas.microsoft.com/office/spreadsheetml/2009/9/main" uri="{EB79DEF2-80B8-43e5-95BD-54CBDDF9020C}">
      <x14:slicerStyles defaultSlicerStyle="Slicer Style 2">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801850136380007E-2"/>
          <c:y val="9.3567251461988299E-2"/>
          <c:w val="0.87717854202048262"/>
          <c:h val="0.64351429755491085"/>
        </c:manualLayout>
      </c:layout>
      <c:barChart>
        <c:barDir val="col"/>
        <c:grouping val="clustered"/>
        <c:varyColors val="0"/>
        <c:ser>
          <c:idx val="0"/>
          <c:order val="0"/>
          <c:spPr>
            <a:solidFill>
              <a:srgbClr val="A603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analysis_pivots!$Z$15:$Z$22</c:f>
              <c:strCache>
                <c:ptCount val="8"/>
                <c:pt idx="0">
                  <c:v>هومزمارت</c:v>
                </c:pt>
                <c:pt idx="1">
                  <c:v>شيك هومز</c:v>
                </c:pt>
                <c:pt idx="2">
                  <c:v>اوسكار ريتن</c:v>
                </c:pt>
                <c:pt idx="3">
                  <c:v>تاكى</c:v>
                </c:pt>
                <c:pt idx="4">
                  <c:v>السويس</c:v>
                </c:pt>
                <c:pt idx="5">
                  <c:v>فيس بوك</c:v>
                </c:pt>
                <c:pt idx="6">
                  <c:v>منزلى</c:v>
                </c:pt>
                <c:pt idx="7">
                  <c:v>كيمت</c:v>
                </c:pt>
              </c:strCache>
            </c:strRef>
          </c:cat>
          <c:val>
            <c:numRef>
              <c:f>analysis_pivots!$AA$15:$AA$22</c:f>
              <c:numCache>
                <c:formatCode>General</c:formatCode>
                <c:ptCount val="8"/>
                <c:pt idx="0">
                  <c:v>78</c:v>
                </c:pt>
                <c:pt idx="1">
                  <c:v>16</c:v>
                </c:pt>
                <c:pt idx="2">
                  <c:v>13</c:v>
                </c:pt>
                <c:pt idx="3">
                  <c:v>9</c:v>
                </c:pt>
                <c:pt idx="4">
                  <c:v>4</c:v>
                </c:pt>
                <c:pt idx="5">
                  <c:v>3</c:v>
                </c:pt>
                <c:pt idx="6">
                  <c:v>2</c:v>
                </c:pt>
                <c:pt idx="7">
                  <c:v>1</c:v>
                </c:pt>
              </c:numCache>
            </c:numRef>
          </c:val>
          <c:extLst>
            <c:ext xmlns:c16="http://schemas.microsoft.com/office/drawing/2014/chart" uri="{C3380CC4-5D6E-409C-BE32-E72D297353CC}">
              <c16:uniqueId val="{00000000-2C61-4467-987F-35A11A1EFCA1}"/>
            </c:ext>
          </c:extLst>
        </c:ser>
        <c:dLbls>
          <c:dLblPos val="outEnd"/>
          <c:showLegendKey val="0"/>
          <c:showVal val="1"/>
          <c:showCatName val="0"/>
          <c:showSerName val="0"/>
          <c:showPercent val="0"/>
          <c:showBubbleSize val="0"/>
        </c:dLbls>
        <c:gapWidth val="219"/>
        <c:overlap val="-27"/>
        <c:axId val="1195324848"/>
        <c:axId val="1195311408"/>
      </c:barChart>
      <c:catAx>
        <c:axId val="1195324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95311408"/>
        <c:crosses val="autoZero"/>
        <c:auto val="1"/>
        <c:lblAlgn val="ctr"/>
        <c:lblOffset val="100"/>
        <c:noMultiLvlLbl val="0"/>
      </c:catAx>
      <c:valAx>
        <c:axId val="1195311408"/>
        <c:scaling>
          <c:orientation val="minMax"/>
        </c:scaling>
        <c:delete val="1"/>
        <c:axPos val="l"/>
        <c:numFmt formatCode="General" sourceLinked="1"/>
        <c:majorTickMark val="out"/>
        <c:minorTickMark val="none"/>
        <c:tickLblPos val="nextTo"/>
        <c:crossAx val="1195324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446731271852713E-2"/>
          <c:y val="0.17171296296296298"/>
          <c:w val="0.883037504227008"/>
          <c:h val="0.59943606007582384"/>
        </c:manualLayout>
      </c:layout>
      <c:lineChart>
        <c:grouping val="standard"/>
        <c:varyColors val="0"/>
        <c:ser>
          <c:idx val="0"/>
          <c:order val="0"/>
          <c:spPr>
            <a:ln w="28575" cap="rnd">
              <a:solidFill>
                <a:srgbClr val="A60303"/>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analysis_pivots!$AH$19:$AH$30</c:f>
              <c:strCache>
                <c:ptCount val="12"/>
                <c:pt idx="0">
                  <c:v>الجيزه</c:v>
                </c:pt>
                <c:pt idx="1">
                  <c:v>القاهره الجديده</c:v>
                </c:pt>
                <c:pt idx="2">
                  <c:v>العباسيه</c:v>
                </c:pt>
                <c:pt idx="3">
                  <c:v>غير معروف</c:v>
                </c:pt>
                <c:pt idx="4">
                  <c:v>التجمع الخامس</c:v>
                </c:pt>
                <c:pt idx="5">
                  <c:v>المعادى</c:v>
                </c:pt>
                <c:pt idx="6">
                  <c:v>مدينه نصر</c:v>
                </c:pt>
                <c:pt idx="7">
                  <c:v>ابو الغيط</c:v>
                </c:pt>
                <c:pt idx="8">
                  <c:v>اسكندريه</c:v>
                </c:pt>
                <c:pt idx="9">
                  <c:v>المقطم</c:v>
                </c:pt>
                <c:pt idx="10">
                  <c:v>الشروق</c:v>
                </c:pt>
                <c:pt idx="11">
                  <c:v>القناطر</c:v>
                </c:pt>
              </c:strCache>
            </c:strRef>
          </c:cat>
          <c:val>
            <c:numRef>
              <c:f>analysis_pivots!$AI$19:$AI$30</c:f>
              <c:numCache>
                <c:formatCode>General</c:formatCode>
                <c:ptCount val="12"/>
                <c:pt idx="0">
                  <c:v>22</c:v>
                </c:pt>
                <c:pt idx="1">
                  <c:v>14</c:v>
                </c:pt>
                <c:pt idx="2">
                  <c:v>10</c:v>
                </c:pt>
                <c:pt idx="3">
                  <c:v>8</c:v>
                </c:pt>
                <c:pt idx="4">
                  <c:v>7</c:v>
                </c:pt>
                <c:pt idx="5">
                  <c:v>7</c:v>
                </c:pt>
                <c:pt idx="6">
                  <c:v>6</c:v>
                </c:pt>
                <c:pt idx="7">
                  <c:v>5</c:v>
                </c:pt>
                <c:pt idx="8">
                  <c:v>5</c:v>
                </c:pt>
                <c:pt idx="9">
                  <c:v>4</c:v>
                </c:pt>
                <c:pt idx="10">
                  <c:v>4</c:v>
                </c:pt>
                <c:pt idx="11">
                  <c:v>4</c:v>
                </c:pt>
              </c:numCache>
            </c:numRef>
          </c:val>
          <c:smooth val="0"/>
          <c:extLst>
            <c:ext xmlns:c16="http://schemas.microsoft.com/office/drawing/2014/chart" uri="{C3380CC4-5D6E-409C-BE32-E72D297353CC}">
              <c16:uniqueId val="{00000000-2F4B-44EB-94E6-F375DE395E16}"/>
            </c:ext>
          </c:extLst>
        </c:ser>
        <c:dLbls>
          <c:dLblPos val="t"/>
          <c:showLegendKey val="0"/>
          <c:showVal val="1"/>
          <c:showCatName val="0"/>
          <c:showSerName val="0"/>
          <c:showPercent val="0"/>
          <c:showBubbleSize val="0"/>
        </c:dLbls>
        <c:marker val="1"/>
        <c:smooth val="0"/>
        <c:axId val="1009097088"/>
        <c:axId val="1009082208"/>
      </c:lineChart>
      <c:catAx>
        <c:axId val="100909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9082208"/>
        <c:crosses val="autoZero"/>
        <c:auto val="1"/>
        <c:lblAlgn val="ctr"/>
        <c:lblOffset val="100"/>
        <c:noMultiLvlLbl val="0"/>
      </c:catAx>
      <c:valAx>
        <c:axId val="1009082208"/>
        <c:scaling>
          <c:orientation val="minMax"/>
        </c:scaling>
        <c:delete val="1"/>
        <c:axPos val="l"/>
        <c:numFmt formatCode="General" sourceLinked="1"/>
        <c:majorTickMark val="none"/>
        <c:minorTickMark val="none"/>
        <c:tickLblPos val="nextTo"/>
        <c:crossAx val="1009097088"/>
        <c:crosses val="autoZero"/>
        <c:crossBetween val="between"/>
      </c:valAx>
      <c:spPr>
        <a:solidFill>
          <a:srgbClr val="F2F2F2"/>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A61F2B"/>
              </a:solidFill>
              <a:ln w="19050">
                <a:noFill/>
              </a:ln>
              <a:effectLst/>
            </c:spPr>
            <c:extLst>
              <c:ext xmlns:c16="http://schemas.microsoft.com/office/drawing/2014/chart" uri="{C3380CC4-5D6E-409C-BE32-E72D297353CC}">
                <c16:uniqueId val="{00000001-D54F-4C48-B356-3B8980873874}"/>
              </c:ext>
            </c:extLst>
          </c:dPt>
          <c:dPt>
            <c:idx val="1"/>
            <c:bubble3D val="0"/>
            <c:spPr>
              <a:solidFill>
                <a:srgbClr val="000033"/>
              </a:solidFill>
              <a:ln w="19050">
                <a:noFill/>
              </a:ln>
              <a:effectLst/>
            </c:spPr>
            <c:extLst>
              <c:ext xmlns:c16="http://schemas.microsoft.com/office/drawing/2014/chart" uri="{C3380CC4-5D6E-409C-BE32-E72D297353CC}">
                <c16:uniqueId val="{00000003-D54F-4C48-B356-3B8980873874}"/>
              </c:ext>
            </c:extLst>
          </c:dPt>
          <c:dPt>
            <c:idx val="2"/>
            <c:bubble3D val="0"/>
            <c:spPr>
              <a:solidFill>
                <a:schemeClr val="bg2">
                  <a:lumMod val="90000"/>
                </a:schemeClr>
              </a:solidFill>
              <a:ln w="19050">
                <a:noFill/>
              </a:ln>
              <a:effectLst/>
            </c:spPr>
            <c:extLst>
              <c:ext xmlns:c16="http://schemas.microsoft.com/office/drawing/2014/chart" uri="{C3380CC4-5D6E-409C-BE32-E72D297353CC}">
                <c16:uniqueId val="{00000005-D54F-4C48-B356-3B8980873874}"/>
              </c:ext>
            </c:extLst>
          </c:dPt>
          <c:dLbls>
            <c:dLbl>
              <c:idx val="0"/>
              <c:layout>
                <c:manualLayout>
                  <c:x val="9.0984314160956273E-2"/>
                  <c:y val="3.8759689922480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4F-4C48-B356-3B8980873874}"/>
                </c:ext>
              </c:extLst>
            </c:dLbl>
            <c:dLbl>
              <c:idx val="1"/>
              <c:layout>
                <c:manualLayout>
                  <c:x val="-0.12406951931039491"/>
                  <c:y val="-9.04392764857881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4F-4C48-B356-3B8980873874}"/>
                </c:ext>
              </c:extLst>
            </c:dLbl>
            <c:dLbl>
              <c:idx val="2"/>
              <c:layout>
                <c:manualLayout>
                  <c:x val="-5.7899109011517659E-2"/>
                  <c:y val="9.04392764857881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4F-4C48-B356-3B898087387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analysis_pivots!$AP$9:$AP$11</c:f>
              <c:strCache>
                <c:ptCount val="3"/>
                <c:pt idx="0">
                  <c:v>تأخر في التسليم</c:v>
                </c:pt>
                <c:pt idx="1">
                  <c:v>تم في الموعد</c:v>
                </c:pt>
                <c:pt idx="2">
                  <c:v>ملغي</c:v>
                </c:pt>
              </c:strCache>
            </c:strRef>
          </c:cat>
          <c:val>
            <c:numRef>
              <c:f>analysis_pivots!$AQ$9:$AQ$11</c:f>
              <c:numCache>
                <c:formatCode>0%</c:formatCode>
                <c:ptCount val="3"/>
                <c:pt idx="0">
                  <c:v>0.31746031746031744</c:v>
                </c:pt>
                <c:pt idx="1">
                  <c:v>0.48412698412698413</c:v>
                </c:pt>
                <c:pt idx="2">
                  <c:v>0.1984126984126984</c:v>
                </c:pt>
              </c:numCache>
            </c:numRef>
          </c:val>
          <c:extLst>
            <c:ext xmlns:c16="http://schemas.microsoft.com/office/drawing/2014/chart" uri="{C3380CC4-5D6E-409C-BE32-E72D297353CC}">
              <c16:uniqueId val="{00000006-D54F-4C48-B356-3B898087387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873925905961023"/>
          <c:y val="9.9748246944195443E-2"/>
          <c:w val="0.42252180274531698"/>
          <c:h val="0.68950543719578095"/>
        </c:manualLayout>
      </c:layout>
      <c:doughnutChart>
        <c:varyColors val="1"/>
        <c:ser>
          <c:idx val="0"/>
          <c:order val="0"/>
          <c:dPt>
            <c:idx val="0"/>
            <c:bubble3D val="0"/>
            <c:spPr>
              <a:solidFill>
                <a:srgbClr val="A61F2B"/>
              </a:solidFill>
              <a:ln w="19050">
                <a:solidFill>
                  <a:schemeClr val="lt1"/>
                </a:solidFill>
              </a:ln>
              <a:effectLst/>
            </c:spPr>
            <c:extLst>
              <c:ext xmlns:c16="http://schemas.microsoft.com/office/drawing/2014/chart" uri="{C3380CC4-5D6E-409C-BE32-E72D297353CC}">
                <c16:uniqueId val="{00000001-9BBD-4967-9DFC-F9DE0FDFE6DD}"/>
              </c:ext>
            </c:extLst>
          </c:dPt>
          <c:dPt>
            <c:idx val="1"/>
            <c:bubble3D val="0"/>
            <c:spPr>
              <a:solidFill>
                <a:srgbClr val="000033"/>
              </a:solidFill>
              <a:ln w="19050">
                <a:solidFill>
                  <a:schemeClr val="lt1"/>
                </a:solidFill>
              </a:ln>
              <a:effectLst/>
            </c:spPr>
            <c:extLst>
              <c:ext xmlns:c16="http://schemas.microsoft.com/office/drawing/2014/chart" uri="{C3380CC4-5D6E-409C-BE32-E72D297353CC}">
                <c16:uniqueId val="{00000003-9BBD-4967-9DFC-F9DE0FDFE6DD}"/>
              </c:ext>
            </c:extLst>
          </c:dPt>
          <c:dLbls>
            <c:dLbl>
              <c:idx val="0"/>
              <c:layout>
                <c:manualLayout>
                  <c:x val="0.26894865525672373"/>
                  <c:y val="-0.192846610758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BD-4967-9DFC-F9DE0FDFE6DD}"/>
                </c:ext>
              </c:extLst>
            </c:dLbl>
            <c:dLbl>
              <c:idx val="1"/>
              <c:layout>
                <c:manualLayout>
                  <c:x val="-0.15892420537897312"/>
                  <c:y val="-9.9748246944195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BD-4967-9DFC-F9DE0FDFE6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analysis_pivots!$BC$8:$BC$9</c:f>
              <c:strCache>
                <c:ptCount val="2"/>
                <c:pt idx="0">
                  <c:v>تم التسليم</c:v>
                </c:pt>
                <c:pt idx="1">
                  <c:v>لاغى</c:v>
                </c:pt>
              </c:strCache>
            </c:strRef>
          </c:cat>
          <c:val>
            <c:numRef>
              <c:f>analysis_pivots!$BD$8:$BD$9</c:f>
              <c:numCache>
                <c:formatCode>0%</c:formatCode>
                <c:ptCount val="2"/>
                <c:pt idx="0">
                  <c:v>0.80952380952380953</c:v>
                </c:pt>
                <c:pt idx="1">
                  <c:v>0.19047619047619047</c:v>
                </c:pt>
              </c:numCache>
            </c:numRef>
          </c:val>
          <c:extLst>
            <c:ext xmlns:c16="http://schemas.microsoft.com/office/drawing/2014/chart" uri="{C3380CC4-5D6E-409C-BE32-E72D297353CC}">
              <c16:uniqueId val="{00000004-9BBD-4967-9DFC-F9DE0FDFE6D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0033"/>
            </a:solidFill>
            <a:ln>
              <a:noFill/>
            </a:ln>
            <a:effectLst/>
          </c:spPr>
          <c:invertIfNegative val="0"/>
          <c:dPt>
            <c:idx val="0"/>
            <c:invertIfNegative val="0"/>
            <c:bubble3D val="0"/>
            <c:spPr>
              <a:solidFill>
                <a:srgbClr val="A61F2B"/>
              </a:solidFill>
              <a:ln>
                <a:noFill/>
              </a:ln>
              <a:effectLst/>
            </c:spPr>
            <c:extLst>
              <c:ext xmlns:c16="http://schemas.microsoft.com/office/drawing/2014/chart" uri="{C3380CC4-5D6E-409C-BE32-E72D297353CC}">
                <c16:uniqueId val="{00000005-53B5-4E27-B408-ECB3A6B5C9E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analysis_pivots!$BI$13:$BI$18</c:f>
              <c:strCache>
                <c:ptCount val="6"/>
                <c:pt idx="0">
                  <c:v>سرير</c:v>
                </c:pt>
                <c:pt idx="1">
                  <c:v>كنبه</c:v>
                </c:pt>
                <c:pt idx="2">
                  <c:v>تربيزه</c:v>
                </c:pt>
                <c:pt idx="3">
                  <c:v>ركنة</c:v>
                </c:pt>
                <c:pt idx="4">
                  <c:v>كرسى</c:v>
                </c:pt>
                <c:pt idx="5">
                  <c:v>شيزلونج</c:v>
                </c:pt>
              </c:strCache>
            </c:strRef>
          </c:cat>
          <c:val>
            <c:numRef>
              <c:f>analysis_pivots!$BJ$13:$BJ$18</c:f>
              <c:numCache>
                <c:formatCode>General</c:formatCode>
                <c:ptCount val="6"/>
                <c:pt idx="0">
                  <c:v>88</c:v>
                </c:pt>
                <c:pt idx="1">
                  <c:v>18</c:v>
                </c:pt>
                <c:pt idx="2">
                  <c:v>17</c:v>
                </c:pt>
                <c:pt idx="3">
                  <c:v>1</c:v>
                </c:pt>
                <c:pt idx="4">
                  <c:v>1</c:v>
                </c:pt>
                <c:pt idx="5">
                  <c:v>1</c:v>
                </c:pt>
              </c:numCache>
            </c:numRef>
          </c:val>
          <c:extLst>
            <c:ext xmlns:c16="http://schemas.microsoft.com/office/drawing/2014/chart" uri="{C3380CC4-5D6E-409C-BE32-E72D297353CC}">
              <c16:uniqueId val="{00000000-53B5-4E27-B408-ECB3A6B5C9EC}"/>
            </c:ext>
          </c:extLst>
        </c:ser>
        <c:dLbls>
          <c:dLblPos val="outEnd"/>
          <c:showLegendKey val="0"/>
          <c:showVal val="1"/>
          <c:showCatName val="0"/>
          <c:showSerName val="0"/>
          <c:showPercent val="0"/>
          <c:showBubbleSize val="0"/>
        </c:dLbls>
        <c:gapWidth val="219"/>
        <c:overlap val="-27"/>
        <c:axId val="1552157488"/>
        <c:axId val="1552157968"/>
      </c:barChart>
      <c:catAx>
        <c:axId val="155215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157968"/>
        <c:crosses val="autoZero"/>
        <c:auto val="1"/>
        <c:lblAlgn val="ctr"/>
        <c:lblOffset val="100"/>
        <c:noMultiLvlLbl val="0"/>
      </c:catAx>
      <c:valAx>
        <c:axId val="1552157968"/>
        <c:scaling>
          <c:orientation val="minMax"/>
        </c:scaling>
        <c:delete val="1"/>
        <c:axPos val="l"/>
        <c:numFmt formatCode="General" sourceLinked="1"/>
        <c:majorTickMark val="none"/>
        <c:minorTickMark val="none"/>
        <c:tickLblPos val="nextTo"/>
        <c:crossAx val="155215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clusteredColumn" uniqueId="{4B7B2F33-041C-4978-B610-6D8DD797E54A}" formatIdx="0">
          <cx:spPr>
            <a:solidFill>
              <a:srgbClr val="A61F2B"/>
            </a:solidFill>
            <a:ln w="0">
              <a:solidFill>
                <a:schemeClr val="accent1">
                  <a:shade val="15000"/>
                </a:schemeClr>
              </a:solidFill>
            </a:ln>
          </cx:spPr>
          <cx:dataLabels>
            <cx:txPr>
              <a:bodyPr spcFirstLastPara="1" vertOverflow="ellipsis" horzOverflow="overflow" wrap="square" lIns="0" tIns="0" rIns="0" bIns="0" anchor="ctr" anchorCtr="1"/>
              <a:lstStyle/>
              <a:p>
                <a:pPr algn="ctr" rtl="0">
                  <a:defRPr sz="1000" b="1"/>
                </a:pPr>
                <a:endParaRPr lang="en-US" sz="1000" b="1" i="0" u="none" strike="noStrike" kern="1200" baseline="0">
                  <a:solidFill>
                    <a:sysClr val="windowText" lastClr="000000">
                      <a:lumMod val="75000"/>
                      <a:lumOff val="25000"/>
                    </a:sysClr>
                  </a:solidFill>
                  <a:latin typeface="Calibri" panose="020F0502020204030204"/>
                </a:endParaRPr>
              </a:p>
            </cx:txPr>
            <cx:visibility seriesName="0" categoryName="0" value="1"/>
          </cx:dataLabels>
          <cx:dataId val="0"/>
          <cx:layoutPr>
            <cx:aggregation/>
          </cx:layoutPr>
        </cx:series>
      </cx:plotAreaRegion>
      <cx:axis id="0">
        <cx:catScaling/>
        <cx:tickLabels/>
        <cx:txPr>
          <a:bodyPr spcFirstLastPara="1" vertOverflow="ellipsis" horzOverflow="overflow" wrap="square" lIns="0" tIns="0" rIns="0" bIns="0" anchor="ctr" anchorCtr="1"/>
          <a:lstStyle/>
          <a:p>
            <a:pPr algn="ctr" rtl="0">
              <a:defRPr sz="1050" b="1"/>
            </a:pPr>
            <a:endParaRPr lang="en-US" sz="1050" b="1" i="0" u="none" strike="noStrike" kern="1200" baseline="0">
              <a:solidFill>
                <a:sysClr val="windowText" lastClr="000000">
                  <a:lumMod val="65000"/>
                  <a:lumOff val="35000"/>
                </a:sysClr>
              </a:solidFill>
              <a:latin typeface="Calibri" panose="020F0502020204030204"/>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chart" Target="../charts/chart2.xml"/><Relationship Id="rId26" Type="http://schemas.openxmlformats.org/officeDocument/2006/relationships/image" Target="../media/image21.svg"/><Relationship Id="rId3" Type="http://schemas.openxmlformats.org/officeDocument/2006/relationships/hyperlink" Target="#Data!A1"/><Relationship Id="rId21" Type="http://schemas.openxmlformats.org/officeDocument/2006/relationships/image" Target="../media/image17.svg"/><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image" Target="../media/image15.svg"/><Relationship Id="rId25" Type="http://schemas.openxmlformats.org/officeDocument/2006/relationships/image" Target="../media/image20.png"/><Relationship Id="rId2" Type="http://schemas.openxmlformats.org/officeDocument/2006/relationships/image" Target="../media/image2.svg"/><Relationship Id="rId16" Type="http://schemas.openxmlformats.org/officeDocument/2006/relationships/image" Target="../media/image14.png"/><Relationship Id="rId20" Type="http://schemas.openxmlformats.org/officeDocument/2006/relationships/image" Target="../media/image16.png"/><Relationship Id="rId29" Type="http://schemas.openxmlformats.org/officeDocument/2006/relationships/image" Target="../media/image22.png"/><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24" Type="http://schemas.microsoft.com/office/2014/relationships/chartEx" Target="../charts/chartEx1.xml"/><Relationship Id="rId32" Type="http://schemas.openxmlformats.org/officeDocument/2006/relationships/image" Target="../media/image25.svg"/><Relationship Id="rId5" Type="http://schemas.openxmlformats.org/officeDocument/2006/relationships/image" Target="../media/image4.png"/><Relationship Id="rId15" Type="http://schemas.openxmlformats.org/officeDocument/2006/relationships/chart" Target="../charts/chart1.xml"/><Relationship Id="rId23" Type="http://schemas.openxmlformats.org/officeDocument/2006/relationships/image" Target="../media/image19.svg"/><Relationship Id="rId28" Type="http://schemas.openxmlformats.org/officeDocument/2006/relationships/chart" Target="../charts/chart5.xml"/><Relationship Id="rId10" Type="http://schemas.openxmlformats.org/officeDocument/2006/relationships/image" Target="../media/image9.svg"/><Relationship Id="rId19" Type="http://schemas.openxmlformats.org/officeDocument/2006/relationships/chart" Target="../charts/chart3.xml"/><Relationship Id="rId31" Type="http://schemas.openxmlformats.org/officeDocument/2006/relationships/image" Target="../media/image24.png"/><Relationship Id="rId4" Type="http://schemas.openxmlformats.org/officeDocument/2006/relationships/image" Target="../media/image3.jpeg"/><Relationship Id="rId9" Type="http://schemas.openxmlformats.org/officeDocument/2006/relationships/image" Target="../media/image8.png"/><Relationship Id="rId14" Type="http://schemas.openxmlformats.org/officeDocument/2006/relationships/image" Target="../media/image13.svg"/><Relationship Id="rId22" Type="http://schemas.openxmlformats.org/officeDocument/2006/relationships/image" Target="../media/image18.png"/><Relationship Id="rId27" Type="http://schemas.openxmlformats.org/officeDocument/2006/relationships/chart" Target="../charts/chart4.xml"/><Relationship Id="rId30" Type="http://schemas.openxmlformats.org/officeDocument/2006/relationships/image" Target="../media/image23.svg"/></Relationships>
</file>

<file path=xl/drawings/drawing1.xml><?xml version="1.0" encoding="utf-8"?>
<xdr:wsDr xmlns:xdr="http://schemas.openxmlformats.org/drawingml/2006/spreadsheetDrawing" xmlns:a="http://schemas.openxmlformats.org/drawingml/2006/main">
  <xdr:twoCellAnchor>
    <xdr:from>
      <xdr:col>19</xdr:col>
      <xdr:colOff>403860</xdr:colOff>
      <xdr:row>0</xdr:row>
      <xdr:rowOff>0</xdr:rowOff>
    </xdr:from>
    <xdr:to>
      <xdr:col>22</xdr:col>
      <xdr:colOff>533400</xdr:colOff>
      <xdr:row>29</xdr:row>
      <xdr:rowOff>45720</xdr:rowOff>
    </xdr:to>
    <xdr:sp macro="" textlink="">
      <xdr:nvSpPr>
        <xdr:cNvPr id="2" name="Rectangle: Rounded Corners 1">
          <a:extLst>
            <a:ext uri="{FF2B5EF4-FFF2-40B4-BE49-F238E27FC236}">
              <a16:creationId xmlns:a16="http://schemas.microsoft.com/office/drawing/2014/main" id="{5FB52AFF-89B2-1924-0809-A6CB64BAF23E}"/>
            </a:ext>
          </a:extLst>
        </xdr:cNvPr>
        <xdr:cNvSpPr/>
      </xdr:nvSpPr>
      <xdr:spPr>
        <a:xfrm>
          <a:off x="11986260" y="0"/>
          <a:ext cx="1958340" cy="534924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68580</xdr:colOff>
      <xdr:row>0</xdr:row>
      <xdr:rowOff>68580</xdr:rowOff>
    </xdr:from>
    <xdr:to>
      <xdr:col>19</xdr:col>
      <xdr:colOff>274320</xdr:colOff>
      <xdr:row>3</xdr:row>
      <xdr:rowOff>60960</xdr:rowOff>
    </xdr:to>
    <xdr:sp macro="" textlink="">
      <xdr:nvSpPr>
        <xdr:cNvPr id="3" name="Rectangle: Rounded Corners 2">
          <a:extLst>
            <a:ext uri="{FF2B5EF4-FFF2-40B4-BE49-F238E27FC236}">
              <a16:creationId xmlns:a16="http://schemas.microsoft.com/office/drawing/2014/main" id="{15DF4721-4330-4726-ABA1-516B80C83C93}"/>
            </a:ext>
          </a:extLst>
        </xdr:cNvPr>
        <xdr:cNvSpPr/>
      </xdr:nvSpPr>
      <xdr:spPr>
        <a:xfrm>
          <a:off x="68580" y="68580"/>
          <a:ext cx="11788140" cy="54102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33"/>
            </a:solidFill>
          </a:endParaRPr>
        </a:p>
      </xdr:txBody>
    </xdr:sp>
    <xdr:clientData/>
  </xdr:twoCellAnchor>
  <xdr:twoCellAnchor>
    <xdr:from>
      <xdr:col>3</xdr:col>
      <xdr:colOff>167978</xdr:colOff>
      <xdr:row>3</xdr:row>
      <xdr:rowOff>163830</xdr:rowOff>
    </xdr:from>
    <xdr:to>
      <xdr:col>8</xdr:col>
      <xdr:colOff>251460</xdr:colOff>
      <xdr:row>15</xdr:row>
      <xdr:rowOff>179070</xdr:rowOff>
    </xdr:to>
    <xdr:sp macro="" textlink="">
      <xdr:nvSpPr>
        <xdr:cNvPr id="4" name="Rectangle: Rounded Corners 3">
          <a:extLst>
            <a:ext uri="{FF2B5EF4-FFF2-40B4-BE49-F238E27FC236}">
              <a16:creationId xmlns:a16="http://schemas.microsoft.com/office/drawing/2014/main" id="{1C2B8A1F-1E41-4F3D-92DC-C638281C174A}"/>
            </a:ext>
          </a:extLst>
        </xdr:cNvPr>
        <xdr:cNvSpPr/>
      </xdr:nvSpPr>
      <xdr:spPr>
        <a:xfrm>
          <a:off x="1996778" y="712470"/>
          <a:ext cx="3131482" cy="220980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167978</xdr:colOff>
      <xdr:row>17</xdr:row>
      <xdr:rowOff>45720</xdr:rowOff>
    </xdr:from>
    <xdr:to>
      <xdr:col>8</xdr:col>
      <xdr:colOff>251460</xdr:colOff>
      <xdr:row>29</xdr:row>
      <xdr:rowOff>60960</xdr:rowOff>
    </xdr:to>
    <xdr:sp macro="" textlink="">
      <xdr:nvSpPr>
        <xdr:cNvPr id="5" name="Rectangle: Rounded Corners 4">
          <a:extLst>
            <a:ext uri="{FF2B5EF4-FFF2-40B4-BE49-F238E27FC236}">
              <a16:creationId xmlns:a16="http://schemas.microsoft.com/office/drawing/2014/main" id="{2DD42404-F024-49CF-8AA6-8A8C5B4F929A}"/>
            </a:ext>
          </a:extLst>
        </xdr:cNvPr>
        <xdr:cNvSpPr/>
      </xdr:nvSpPr>
      <xdr:spPr>
        <a:xfrm>
          <a:off x="1996778" y="3154680"/>
          <a:ext cx="3131482" cy="220980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478493</xdr:colOff>
      <xdr:row>3</xdr:row>
      <xdr:rowOff>163830</xdr:rowOff>
    </xdr:from>
    <xdr:to>
      <xdr:col>13</xdr:col>
      <xdr:colOff>561975</xdr:colOff>
      <xdr:row>15</xdr:row>
      <xdr:rowOff>179070</xdr:rowOff>
    </xdr:to>
    <xdr:sp macro="" textlink="">
      <xdr:nvSpPr>
        <xdr:cNvPr id="6" name="Rectangle: Rounded Corners 5">
          <a:extLst>
            <a:ext uri="{FF2B5EF4-FFF2-40B4-BE49-F238E27FC236}">
              <a16:creationId xmlns:a16="http://schemas.microsoft.com/office/drawing/2014/main" id="{A8F0BA47-C968-4217-873A-16CDB0B16EE0}"/>
            </a:ext>
          </a:extLst>
        </xdr:cNvPr>
        <xdr:cNvSpPr/>
      </xdr:nvSpPr>
      <xdr:spPr>
        <a:xfrm>
          <a:off x="5355293" y="712470"/>
          <a:ext cx="3131482" cy="220980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179408</xdr:colOff>
      <xdr:row>3</xdr:row>
      <xdr:rowOff>163830</xdr:rowOff>
    </xdr:from>
    <xdr:to>
      <xdr:col>19</xdr:col>
      <xdr:colOff>262890</xdr:colOff>
      <xdr:row>15</xdr:row>
      <xdr:rowOff>179070</xdr:rowOff>
    </xdr:to>
    <xdr:sp macro="" textlink="">
      <xdr:nvSpPr>
        <xdr:cNvPr id="7" name="Rectangle: Rounded Corners 6">
          <a:extLst>
            <a:ext uri="{FF2B5EF4-FFF2-40B4-BE49-F238E27FC236}">
              <a16:creationId xmlns:a16="http://schemas.microsoft.com/office/drawing/2014/main" id="{106435A8-8F58-43B3-9656-F25297E55A03}"/>
            </a:ext>
          </a:extLst>
        </xdr:cNvPr>
        <xdr:cNvSpPr/>
      </xdr:nvSpPr>
      <xdr:spPr>
        <a:xfrm>
          <a:off x="8713808" y="712470"/>
          <a:ext cx="3131482" cy="220980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478493</xdr:colOff>
      <xdr:row>17</xdr:row>
      <xdr:rowOff>45720</xdr:rowOff>
    </xdr:from>
    <xdr:to>
      <xdr:col>13</xdr:col>
      <xdr:colOff>561975</xdr:colOff>
      <xdr:row>29</xdr:row>
      <xdr:rowOff>60960</xdr:rowOff>
    </xdr:to>
    <xdr:sp macro="" textlink="">
      <xdr:nvSpPr>
        <xdr:cNvPr id="8" name="Rectangle: Rounded Corners 7">
          <a:extLst>
            <a:ext uri="{FF2B5EF4-FFF2-40B4-BE49-F238E27FC236}">
              <a16:creationId xmlns:a16="http://schemas.microsoft.com/office/drawing/2014/main" id="{0BE5721C-79ED-44A7-B5AC-BF58B63F66DD}"/>
            </a:ext>
          </a:extLst>
        </xdr:cNvPr>
        <xdr:cNvSpPr/>
      </xdr:nvSpPr>
      <xdr:spPr>
        <a:xfrm>
          <a:off x="5355293" y="3154680"/>
          <a:ext cx="3131482" cy="220980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179408</xdr:colOff>
      <xdr:row>17</xdr:row>
      <xdr:rowOff>45720</xdr:rowOff>
    </xdr:from>
    <xdr:to>
      <xdr:col>19</xdr:col>
      <xdr:colOff>262890</xdr:colOff>
      <xdr:row>29</xdr:row>
      <xdr:rowOff>60960</xdr:rowOff>
    </xdr:to>
    <xdr:sp macro="" textlink="">
      <xdr:nvSpPr>
        <xdr:cNvPr id="9" name="Rectangle: Rounded Corners 8">
          <a:extLst>
            <a:ext uri="{FF2B5EF4-FFF2-40B4-BE49-F238E27FC236}">
              <a16:creationId xmlns:a16="http://schemas.microsoft.com/office/drawing/2014/main" id="{7F22190C-2826-4676-8B38-B2D2E8DACC10}"/>
            </a:ext>
          </a:extLst>
        </xdr:cNvPr>
        <xdr:cNvSpPr/>
      </xdr:nvSpPr>
      <xdr:spPr>
        <a:xfrm>
          <a:off x="8713808" y="3154680"/>
          <a:ext cx="3131482" cy="220980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60960</xdr:colOff>
      <xdr:row>3</xdr:row>
      <xdr:rowOff>167640</xdr:rowOff>
    </xdr:from>
    <xdr:to>
      <xdr:col>3</xdr:col>
      <xdr:colOff>121920</xdr:colOff>
      <xdr:row>8</xdr:row>
      <xdr:rowOff>60960</xdr:rowOff>
    </xdr:to>
    <xdr:sp macro="" textlink="">
      <xdr:nvSpPr>
        <xdr:cNvPr id="15" name="Rectangle: Rounded Corners 14">
          <a:extLst>
            <a:ext uri="{FF2B5EF4-FFF2-40B4-BE49-F238E27FC236}">
              <a16:creationId xmlns:a16="http://schemas.microsoft.com/office/drawing/2014/main" id="{DD0FAB1F-EDF4-48A4-8A53-EEE4C7FC7FBD}"/>
            </a:ext>
          </a:extLst>
        </xdr:cNvPr>
        <xdr:cNvSpPr/>
      </xdr:nvSpPr>
      <xdr:spPr>
        <a:xfrm>
          <a:off x="60960" y="716280"/>
          <a:ext cx="1889760" cy="80772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z</a:t>
          </a:r>
        </a:p>
      </xdr:txBody>
    </xdr:sp>
    <xdr:clientData/>
  </xdr:twoCellAnchor>
  <xdr:twoCellAnchor>
    <xdr:from>
      <xdr:col>0</xdr:col>
      <xdr:colOff>38100</xdr:colOff>
      <xdr:row>9</xdr:row>
      <xdr:rowOff>28575</xdr:rowOff>
    </xdr:from>
    <xdr:to>
      <xdr:col>3</xdr:col>
      <xdr:colOff>99060</xdr:colOff>
      <xdr:row>13</xdr:row>
      <xdr:rowOff>104775</xdr:rowOff>
    </xdr:to>
    <xdr:sp macro="" textlink="">
      <xdr:nvSpPr>
        <xdr:cNvPr id="16" name="Rectangle: Rounded Corners 15">
          <a:extLst>
            <a:ext uri="{FF2B5EF4-FFF2-40B4-BE49-F238E27FC236}">
              <a16:creationId xmlns:a16="http://schemas.microsoft.com/office/drawing/2014/main" id="{967B0927-F508-4A63-AE67-B564795B3C73}"/>
            </a:ext>
          </a:extLst>
        </xdr:cNvPr>
        <xdr:cNvSpPr/>
      </xdr:nvSpPr>
      <xdr:spPr>
        <a:xfrm>
          <a:off x="38100" y="1674495"/>
          <a:ext cx="1889760" cy="80772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60960</xdr:colOff>
      <xdr:row>14</xdr:row>
      <xdr:rowOff>72390</xdr:rowOff>
    </xdr:from>
    <xdr:to>
      <xdr:col>3</xdr:col>
      <xdr:colOff>121920</xdr:colOff>
      <xdr:row>18</xdr:row>
      <xdr:rowOff>148590</xdr:rowOff>
    </xdr:to>
    <xdr:sp macro="" textlink="">
      <xdr:nvSpPr>
        <xdr:cNvPr id="17" name="Rectangle: Rounded Corners 16">
          <a:extLst>
            <a:ext uri="{FF2B5EF4-FFF2-40B4-BE49-F238E27FC236}">
              <a16:creationId xmlns:a16="http://schemas.microsoft.com/office/drawing/2014/main" id="{AB9C03E6-9F82-432C-A275-8F36E0B059A2}"/>
            </a:ext>
          </a:extLst>
        </xdr:cNvPr>
        <xdr:cNvSpPr/>
      </xdr:nvSpPr>
      <xdr:spPr>
        <a:xfrm>
          <a:off x="60960" y="2632710"/>
          <a:ext cx="1889760" cy="80772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60960</xdr:colOff>
      <xdr:row>19</xdr:row>
      <xdr:rowOff>116205</xdr:rowOff>
    </xdr:from>
    <xdr:to>
      <xdr:col>3</xdr:col>
      <xdr:colOff>121920</xdr:colOff>
      <xdr:row>24</xdr:row>
      <xdr:rowOff>9525</xdr:rowOff>
    </xdr:to>
    <xdr:sp macro="" textlink="">
      <xdr:nvSpPr>
        <xdr:cNvPr id="18" name="Rectangle: Rounded Corners 17">
          <a:extLst>
            <a:ext uri="{FF2B5EF4-FFF2-40B4-BE49-F238E27FC236}">
              <a16:creationId xmlns:a16="http://schemas.microsoft.com/office/drawing/2014/main" id="{34281E67-6A20-4B05-B050-800228775B71}"/>
            </a:ext>
          </a:extLst>
        </xdr:cNvPr>
        <xdr:cNvSpPr/>
      </xdr:nvSpPr>
      <xdr:spPr>
        <a:xfrm>
          <a:off x="60960" y="3590925"/>
          <a:ext cx="1889760" cy="80772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60960</xdr:colOff>
      <xdr:row>24</xdr:row>
      <xdr:rowOff>160020</xdr:rowOff>
    </xdr:from>
    <xdr:to>
      <xdr:col>3</xdr:col>
      <xdr:colOff>121920</xdr:colOff>
      <xdr:row>29</xdr:row>
      <xdr:rowOff>53340</xdr:rowOff>
    </xdr:to>
    <xdr:sp macro="" textlink="">
      <xdr:nvSpPr>
        <xdr:cNvPr id="19" name="Rectangle: Rounded Corners 18">
          <a:extLst>
            <a:ext uri="{FF2B5EF4-FFF2-40B4-BE49-F238E27FC236}">
              <a16:creationId xmlns:a16="http://schemas.microsoft.com/office/drawing/2014/main" id="{DB2593A9-53C0-4F25-8F47-9412BED61553}"/>
            </a:ext>
          </a:extLst>
        </xdr:cNvPr>
        <xdr:cNvSpPr/>
      </xdr:nvSpPr>
      <xdr:spPr>
        <a:xfrm>
          <a:off x="60960" y="4549140"/>
          <a:ext cx="1889760" cy="807720"/>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76200</xdr:colOff>
      <xdr:row>0</xdr:row>
      <xdr:rowOff>83820</xdr:rowOff>
    </xdr:from>
    <xdr:to>
      <xdr:col>4</xdr:col>
      <xdr:colOff>579120</xdr:colOff>
      <xdr:row>3</xdr:row>
      <xdr:rowOff>30480</xdr:rowOff>
    </xdr:to>
    <xdr:sp macro="" textlink="">
      <xdr:nvSpPr>
        <xdr:cNvPr id="24" name="TextBox 23">
          <a:extLst>
            <a:ext uri="{FF2B5EF4-FFF2-40B4-BE49-F238E27FC236}">
              <a16:creationId xmlns:a16="http://schemas.microsoft.com/office/drawing/2014/main" id="{B6C2D5DF-712E-5500-AE60-366862DC1DDB}"/>
            </a:ext>
          </a:extLst>
        </xdr:cNvPr>
        <xdr:cNvSpPr txBox="1"/>
      </xdr:nvSpPr>
      <xdr:spPr>
        <a:xfrm>
          <a:off x="76200" y="83820"/>
          <a:ext cx="294132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a:ln>
                <a:noFill/>
              </a:ln>
              <a:solidFill>
                <a:srgbClr val="000033"/>
              </a:solidFill>
            </a:rPr>
            <a:t>Sales dashboard</a:t>
          </a:r>
        </a:p>
      </xdr:txBody>
    </xdr:sp>
    <xdr:clientData/>
  </xdr:twoCellAnchor>
  <xdr:twoCellAnchor>
    <xdr:from>
      <xdr:col>16</xdr:col>
      <xdr:colOff>68580</xdr:colOff>
      <xdr:row>0</xdr:row>
      <xdr:rowOff>114300</xdr:rowOff>
    </xdr:from>
    <xdr:to>
      <xdr:col>19</xdr:col>
      <xdr:colOff>198120</xdr:colOff>
      <xdr:row>3</xdr:row>
      <xdr:rowOff>0</xdr:rowOff>
    </xdr:to>
    <xdr:sp macro="" textlink="">
      <xdr:nvSpPr>
        <xdr:cNvPr id="25" name="TextBox 24">
          <a:extLst>
            <a:ext uri="{FF2B5EF4-FFF2-40B4-BE49-F238E27FC236}">
              <a16:creationId xmlns:a16="http://schemas.microsoft.com/office/drawing/2014/main" id="{DEB69688-6AB5-8B30-97D0-DDB38BFA485E}"/>
            </a:ext>
          </a:extLst>
        </xdr:cNvPr>
        <xdr:cNvSpPr txBox="1"/>
      </xdr:nvSpPr>
      <xdr:spPr>
        <a:xfrm>
          <a:off x="9822180" y="114300"/>
          <a:ext cx="19583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ar-EG" sz="2800" b="1">
              <a:ln>
                <a:noFill/>
              </a:ln>
              <a:solidFill>
                <a:srgbClr val="A60303"/>
              </a:solidFill>
              <a:latin typeface="+mn-lt"/>
              <a:ea typeface="+mn-ea"/>
              <a:cs typeface="+mn-cs"/>
            </a:rPr>
            <a:t>ْ</a:t>
          </a:r>
        </a:p>
      </xdr:txBody>
    </xdr:sp>
    <xdr:clientData/>
  </xdr:twoCellAnchor>
  <xdr:twoCellAnchor editAs="oneCell">
    <xdr:from>
      <xdr:col>10</xdr:col>
      <xdr:colOff>220980</xdr:colOff>
      <xdr:row>0</xdr:row>
      <xdr:rowOff>76200</xdr:rowOff>
    </xdr:from>
    <xdr:to>
      <xdr:col>11</xdr:col>
      <xdr:colOff>167640</xdr:colOff>
      <xdr:row>3</xdr:row>
      <xdr:rowOff>22860</xdr:rowOff>
    </xdr:to>
    <xdr:pic>
      <xdr:nvPicPr>
        <xdr:cNvPr id="27" name="Graphic 26" descr="Work from home house with solid fill">
          <a:extLst>
            <a:ext uri="{FF2B5EF4-FFF2-40B4-BE49-F238E27FC236}">
              <a16:creationId xmlns:a16="http://schemas.microsoft.com/office/drawing/2014/main" id="{92A1CFF5-48C7-C1B9-A973-7CFFDF590A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16980" y="76200"/>
          <a:ext cx="556260" cy="495300"/>
        </a:xfrm>
        <a:prstGeom prst="rect">
          <a:avLst/>
        </a:prstGeom>
      </xdr:spPr>
    </xdr:pic>
    <xdr:clientData/>
  </xdr:twoCellAnchor>
  <xdr:twoCellAnchor editAs="oneCell">
    <xdr:from>
      <xdr:col>20</xdr:col>
      <xdr:colOff>130472</xdr:colOff>
      <xdr:row>0</xdr:row>
      <xdr:rowOff>99060</xdr:rowOff>
    </xdr:from>
    <xdr:to>
      <xdr:col>22</xdr:col>
      <xdr:colOff>228599</xdr:colOff>
      <xdr:row>7</xdr:row>
      <xdr:rowOff>129540</xdr:rowOff>
    </xdr:to>
    <xdr:pic>
      <xdr:nvPicPr>
        <xdr:cNvPr id="30" name="Picture 29">
          <a:hlinkClick xmlns:r="http://schemas.openxmlformats.org/officeDocument/2006/relationships" r:id="rId3"/>
          <a:extLst>
            <a:ext uri="{FF2B5EF4-FFF2-40B4-BE49-F238E27FC236}">
              <a16:creationId xmlns:a16="http://schemas.microsoft.com/office/drawing/2014/main" id="{CDDE8A96-6ECD-AEB0-4496-1BA3966C782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322472" y="99060"/>
          <a:ext cx="1317327" cy="1310640"/>
        </a:xfrm>
        <a:prstGeom prst="ellipse">
          <a:avLst/>
        </a:prstGeom>
      </xdr:spPr>
    </xdr:pic>
    <xdr:clientData/>
  </xdr:twoCellAnchor>
  <xdr:oneCellAnchor>
    <xdr:from>
      <xdr:col>0</xdr:col>
      <xdr:colOff>83820</xdr:colOff>
      <xdr:row>3</xdr:row>
      <xdr:rowOff>97002</xdr:rowOff>
    </xdr:from>
    <xdr:ext cx="1844040" cy="459258"/>
    <xdr:sp macro="" textlink="">
      <xdr:nvSpPr>
        <xdr:cNvPr id="10" name="TextBox 9">
          <a:extLst>
            <a:ext uri="{FF2B5EF4-FFF2-40B4-BE49-F238E27FC236}">
              <a16:creationId xmlns:a16="http://schemas.microsoft.com/office/drawing/2014/main" id="{D4E7DA03-EF72-DD07-B516-1608EFDCBF4A}"/>
            </a:ext>
          </a:extLst>
        </xdr:cNvPr>
        <xdr:cNvSpPr txBox="1"/>
      </xdr:nvSpPr>
      <xdr:spPr>
        <a:xfrm>
          <a:off x="83820" y="645642"/>
          <a:ext cx="1844040" cy="45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ln>
                <a:noFill/>
              </a:ln>
              <a:solidFill>
                <a:srgbClr val="000033"/>
              </a:solidFill>
              <a:latin typeface="+mn-lt"/>
              <a:ea typeface="+mn-ea"/>
              <a:cs typeface="+mn-cs"/>
            </a:rPr>
            <a:t>Total Sales</a:t>
          </a:r>
        </a:p>
      </xdr:txBody>
    </xdr:sp>
    <xdr:clientData/>
  </xdr:oneCellAnchor>
  <xdr:oneCellAnchor>
    <xdr:from>
      <xdr:col>0</xdr:col>
      <xdr:colOff>38100</xdr:colOff>
      <xdr:row>14</xdr:row>
      <xdr:rowOff>22860</xdr:rowOff>
    </xdr:from>
    <xdr:ext cx="1874520" cy="475260"/>
    <xdr:sp macro="" textlink="">
      <xdr:nvSpPr>
        <xdr:cNvPr id="11" name="TextBox 10">
          <a:extLst>
            <a:ext uri="{FF2B5EF4-FFF2-40B4-BE49-F238E27FC236}">
              <a16:creationId xmlns:a16="http://schemas.microsoft.com/office/drawing/2014/main" id="{88D47585-7764-4B79-AC93-03F075CB2ECD}"/>
            </a:ext>
          </a:extLst>
        </xdr:cNvPr>
        <xdr:cNvSpPr txBox="1"/>
      </xdr:nvSpPr>
      <xdr:spPr>
        <a:xfrm>
          <a:off x="38100" y="2583180"/>
          <a:ext cx="1874520" cy="4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t>Company </a:t>
          </a:r>
          <a:endParaRPr lang="en-US" sz="1600" b="1">
            <a:ln>
              <a:noFill/>
            </a:ln>
            <a:solidFill>
              <a:srgbClr val="000033"/>
            </a:solidFill>
            <a:latin typeface="+mn-lt"/>
            <a:ea typeface="+mn-ea"/>
            <a:cs typeface="+mn-cs"/>
          </a:endParaRPr>
        </a:p>
      </xdr:txBody>
    </xdr:sp>
    <xdr:clientData/>
  </xdr:oneCellAnchor>
  <xdr:oneCellAnchor>
    <xdr:from>
      <xdr:col>0</xdr:col>
      <xdr:colOff>15240</xdr:colOff>
      <xdr:row>8</xdr:row>
      <xdr:rowOff>135102</xdr:rowOff>
    </xdr:from>
    <xdr:ext cx="1950720" cy="530658"/>
    <xdr:sp macro="" textlink="">
      <xdr:nvSpPr>
        <xdr:cNvPr id="12" name="TextBox 11">
          <a:extLst>
            <a:ext uri="{FF2B5EF4-FFF2-40B4-BE49-F238E27FC236}">
              <a16:creationId xmlns:a16="http://schemas.microsoft.com/office/drawing/2014/main" id="{6D8FC161-EA73-4AC8-8BF2-331EDFD2CC2E}"/>
            </a:ext>
          </a:extLst>
        </xdr:cNvPr>
        <xdr:cNvSpPr txBox="1"/>
      </xdr:nvSpPr>
      <xdr:spPr>
        <a:xfrm>
          <a:off x="15240" y="1598142"/>
          <a:ext cx="1950720" cy="53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t>Average Selling Price</a:t>
          </a:r>
          <a:endParaRPr lang="en-US" sz="1600" b="1">
            <a:ln>
              <a:noFill/>
            </a:ln>
            <a:solidFill>
              <a:srgbClr val="000033"/>
            </a:solidFill>
            <a:latin typeface="+mn-lt"/>
            <a:ea typeface="+mn-ea"/>
            <a:cs typeface="+mn-cs"/>
          </a:endParaRPr>
        </a:p>
      </xdr:txBody>
    </xdr:sp>
    <xdr:clientData/>
  </xdr:oneCellAnchor>
  <xdr:oneCellAnchor>
    <xdr:from>
      <xdr:col>0</xdr:col>
      <xdr:colOff>60960</xdr:colOff>
      <xdr:row>19</xdr:row>
      <xdr:rowOff>36042</xdr:rowOff>
    </xdr:from>
    <xdr:ext cx="1882140" cy="530658"/>
    <xdr:sp macro="" textlink="">
      <xdr:nvSpPr>
        <xdr:cNvPr id="13" name="TextBox 12">
          <a:extLst>
            <a:ext uri="{FF2B5EF4-FFF2-40B4-BE49-F238E27FC236}">
              <a16:creationId xmlns:a16="http://schemas.microsoft.com/office/drawing/2014/main" id="{22F3C020-D8FE-4328-A1ED-3260460C65F2}"/>
            </a:ext>
          </a:extLst>
        </xdr:cNvPr>
        <xdr:cNvSpPr txBox="1"/>
      </xdr:nvSpPr>
      <xdr:spPr>
        <a:xfrm>
          <a:off x="60960" y="3510762"/>
          <a:ext cx="1882140" cy="53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t>Individuals</a:t>
          </a:r>
          <a:endParaRPr lang="en-US" sz="2000" b="1">
            <a:ln>
              <a:noFill/>
            </a:ln>
            <a:solidFill>
              <a:srgbClr val="000033"/>
            </a:solidFill>
            <a:latin typeface="+mn-lt"/>
            <a:ea typeface="+mn-ea"/>
            <a:cs typeface="+mn-cs"/>
          </a:endParaRPr>
        </a:p>
      </xdr:txBody>
    </xdr:sp>
    <xdr:clientData/>
  </xdr:oneCellAnchor>
  <xdr:oneCellAnchor>
    <xdr:from>
      <xdr:col>0</xdr:col>
      <xdr:colOff>53340</xdr:colOff>
      <xdr:row>24</xdr:row>
      <xdr:rowOff>36042</xdr:rowOff>
    </xdr:from>
    <xdr:ext cx="1874520" cy="530658"/>
    <xdr:sp macro="" textlink="">
      <xdr:nvSpPr>
        <xdr:cNvPr id="14" name="TextBox 13">
          <a:extLst>
            <a:ext uri="{FF2B5EF4-FFF2-40B4-BE49-F238E27FC236}">
              <a16:creationId xmlns:a16="http://schemas.microsoft.com/office/drawing/2014/main" id="{26D2852F-34A9-4366-8855-5580A7F60D13}"/>
            </a:ext>
          </a:extLst>
        </xdr:cNvPr>
        <xdr:cNvSpPr txBox="1"/>
      </xdr:nvSpPr>
      <xdr:spPr>
        <a:xfrm>
          <a:off x="53340" y="4425162"/>
          <a:ext cx="1874520" cy="53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t> Delivery Time</a:t>
          </a:r>
          <a:endParaRPr lang="en-US" sz="2000" b="1">
            <a:ln>
              <a:noFill/>
            </a:ln>
            <a:solidFill>
              <a:srgbClr val="000033"/>
            </a:solidFill>
            <a:latin typeface="+mn-lt"/>
            <a:ea typeface="+mn-ea"/>
            <a:cs typeface="+mn-cs"/>
          </a:endParaRPr>
        </a:p>
      </xdr:txBody>
    </xdr:sp>
    <xdr:clientData/>
  </xdr:oneCellAnchor>
  <xdr:twoCellAnchor editAs="oneCell">
    <xdr:from>
      <xdr:col>0</xdr:col>
      <xdr:colOff>91440</xdr:colOff>
      <xdr:row>10</xdr:row>
      <xdr:rowOff>121920</xdr:rowOff>
    </xdr:from>
    <xdr:to>
      <xdr:col>1</xdr:col>
      <xdr:colOff>30480</xdr:colOff>
      <xdr:row>13</xdr:row>
      <xdr:rowOff>121920</xdr:rowOff>
    </xdr:to>
    <xdr:pic>
      <xdr:nvPicPr>
        <xdr:cNvPr id="23" name="Graphic 22" descr="Handshake outline">
          <a:extLst>
            <a:ext uri="{FF2B5EF4-FFF2-40B4-BE49-F238E27FC236}">
              <a16:creationId xmlns:a16="http://schemas.microsoft.com/office/drawing/2014/main" id="{79F39265-60AE-27AE-901C-5F079C2D12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440" y="1950720"/>
          <a:ext cx="548640" cy="548640"/>
        </a:xfrm>
        <a:prstGeom prst="rect">
          <a:avLst/>
        </a:prstGeom>
      </xdr:spPr>
    </xdr:pic>
    <xdr:clientData/>
  </xdr:twoCellAnchor>
  <xdr:twoCellAnchor editAs="oneCell">
    <xdr:from>
      <xdr:col>0</xdr:col>
      <xdr:colOff>114300</xdr:colOff>
      <xdr:row>15</xdr:row>
      <xdr:rowOff>121920</xdr:rowOff>
    </xdr:from>
    <xdr:to>
      <xdr:col>1</xdr:col>
      <xdr:colOff>38100</xdr:colOff>
      <xdr:row>18</xdr:row>
      <xdr:rowOff>106680</xdr:rowOff>
    </xdr:to>
    <xdr:pic>
      <xdr:nvPicPr>
        <xdr:cNvPr id="28" name="Graphic 27" descr="Bank outline">
          <a:extLst>
            <a:ext uri="{FF2B5EF4-FFF2-40B4-BE49-F238E27FC236}">
              <a16:creationId xmlns:a16="http://schemas.microsoft.com/office/drawing/2014/main" id="{4841C61D-3903-2AA9-394C-E654C85EF56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4300" y="2865120"/>
          <a:ext cx="533400" cy="533400"/>
        </a:xfrm>
        <a:prstGeom prst="rect">
          <a:avLst/>
        </a:prstGeom>
      </xdr:spPr>
    </xdr:pic>
    <xdr:clientData/>
  </xdr:twoCellAnchor>
  <xdr:twoCellAnchor editAs="oneCell">
    <xdr:from>
      <xdr:col>0</xdr:col>
      <xdr:colOff>68580</xdr:colOff>
      <xdr:row>5</xdr:row>
      <xdr:rowOff>53340</xdr:rowOff>
    </xdr:from>
    <xdr:to>
      <xdr:col>1</xdr:col>
      <xdr:colOff>7620</xdr:colOff>
      <xdr:row>8</xdr:row>
      <xdr:rowOff>53340</xdr:rowOff>
    </xdr:to>
    <xdr:pic>
      <xdr:nvPicPr>
        <xdr:cNvPr id="35" name="Graphic 34" descr="Loan outline">
          <a:extLst>
            <a:ext uri="{FF2B5EF4-FFF2-40B4-BE49-F238E27FC236}">
              <a16:creationId xmlns:a16="http://schemas.microsoft.com/office/drawing/2014/main" id="{9D842444-576A-843C-F859-7F94A94710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 y="967740"/>
          <a:ext cx="548640" cy="548640"/>
        </a:xfrm>
        <a:prstGeom prst="rect">
          <a:avLst/>
        </a:prstGeom>
      </xdr:spPr>
    </xdr:pic>
    <xdr:clientData/>
  </xdr:twoCellAnchor>
  <xdr:twoCellAnchor editAs="oneCell">
    <xdr:from>
      <xdr:col>0</xdr:col>
      <xdr:colOff>68580</xdr:colOff>
      <xdr:row>20</xdr:row>
      <xdr:rowOff>160020</xdr:rowOff>
    </xdr:from>
    <xdr:to>
      <xdr:col>1</xdr:col>
      <xdr:colOff>91440</xdr:colOff>
      <xdr:row>24</xdr:row>
      <xdr:rowOff>60960</xdr:rowOff>
    </xdr:to>
    <xdr:pic>
      <xdr:nvPicPr>
        <xdr:cNvPr id="37" name="Graphic 36" descr="Boardroom outline">
          <a:extLst>
            <a:ext uri="{FF2B5EF4-FFF2-40B4-BE49-F238E27FC236}">
              <a16:creationId xmlns:a16="http://schemas.microsoft.com/office/drawing/2014/main" id="{F68E1E0F-F77F-39FC-46BC-2A09FB6D1B9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8580" y="3817620"/>
          <a:ext cx="632460" cy="632460"/>
        </a:xfrm>
        <a:prstGeom prst="rect">
          <a:avLst/>
        </a:prstGeom>
      </xdr:spPr>
    </xdr:pic>
    <xdr:clientData/>
  </xdr:twoCellAnchor>
  <xdr:twoCellAnchor editAs="oneCell">
    <xdr:from>
      <xdr:col>0</xdr:col>
      <xdr:colOff>91440</xdr:colOff>
      <xdr:row>26</xdr:row>
      <xdr:rowOff>15240</xdr:rowOff>
    </xdr:from>
    <xdr:to>
      <xdr:col>1</xdr:col>
      <xdr:colOff>76200</xdr:colOff>
      <xdr:row>29</xdr:row>
      <xdr:rowOff>60960</xdr:rowOff>
    </xdr:to>
    <xdr:pic>
      <xdr:nvPicPr>
        <xdr:cNvPr id="39" name="Graphic 38" descr="Delivery outline">
          <a:extLst>
            <a:ext uri="{FF2B5EF4-FFF2-40B4-BE49-F238E27FC236}">
              <a16:creationId xmlns:a16="http://schemas.microsoft.com/office/drawing/2014/main" id="{C1C3F72E-D87F-F9A8-5067-6083602079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1440" y="4770120"/>
          <a:ext cx="594360" cy="594360"/>
        </a:xfrm>
        <a:prstGeom prst="rect">
          <a:avLst/>
        </a:prstGeom>
      </xdr:spPr>
    </xdr:pic>
    <xdr:clientData/>
  </xdr:twoCellAnchor>
  <xdr:twoCellAnchor>
    <xdr:from>
      <xdr:col>0</xdr:col>
      <xdr:colOff>342900</xdr:colOff>
      <xdr:row>6</xdr:row>
      <xdr:rowOff>0</xdr:rowOff>
    </xdr:from>
    <xdr:to>
      <xdr:col>2</xdr:col>
      <xdr:colOff>525780</xdr:colOff>
      <xdr:row>7</xdr:row>
      <xdr:rowOff>106680</xdr:rowOff>
    </xdr:to>
    <xdr:sp macro="" textlink="analysis_pivots!B7">
      <xdr:nvSpPr>
        <xdr:cNvPr id="40" name="TextBox 39">
          <a:extLst>
            <a:ext uri="{FF2B5EF4-FFF2-40B4-BE49-F238E27FC236}">
              <a16:creationId xmlns:a16="http://schemas.microsoft.com/office/drawing/2014/main" id="{98D5D93B-E7D9-0C67-56BF-5EBE180C3160}"/>
            </a:ext>
          </a:extLst>
        </xdr:cNvPr>
        <xdr:cNvSpPr txBox="1"/>
      </xdr:nvSpPr>
      <xdr:spPr>
        <a:xfrm>
          <a:off x="342900" y="1097280"/>
          <a:ext cx="14020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7FE876-D07C-43E1-94D2-EFBEC4DA050D}" type="TxLink">
            <a:rPr lang="en-US" sz="2000" b="1" i="0" u="none" strike="noStrike">
              <a:solidFill>
                <a:srgbClr val="A60303"/>
              </a:solidFill>
              <a:latin typeface="Calibri"/>
              <a:cs typeface="Calibri"/>
            </a:rPr>
            <a:pPr algn="ctr"/>
            <a:t> 1,266,486 </a:t>
          </a:fld>
          <a:endParaRPr lang="en-US" sz="2000" b="1">
            <a:solidFill>
              <a:srgbClr val="A60303"/>
            </a:solidFill>
          </a:endParaRPr>
        </a:p>
      </xdr:txBody>
    </xdr:sp>
    <xdr:clientData/>
  </xdr:twoCellAnchor>
  <xdr:twoCellAnchor>
    <xdr:from>
      <xdr:col>0</xdr:col>
      <xdr:colOff>480060</xdr:colOff>
      <xdr:row>11</xdr:row>
      <xdr:rowOff>0</xdr:rowOff>
    </xdr:from>
    <xdr:to>
      <xdr:col>2</xdr:col>
      <xdr:colOff>403860</xdr:colOff>
      <xdr:row>12</xdr:row>
      <xdr:rowOff>152400</xdr:rowOff>
    </xdr:to>
    <xdr:sp macro="" textlink="analysis_pivots!F7">
      <xdr:nvSpPr>
        <xdr:cNvPr id="41" name="TextBox 40">
          <a:extLst>
            <a:ext uri="{FF2B5EF4-FFF2-40B4-BE49-F238E27FC236}">
              <a16:creationId xmlns:a16="http://schemas.microsoft.com/office/drawing/2014/main" id="{C21E3764-706D-43FC-A276-E4EEEABB4C31}"/>
            </a:ext>
          </a:extLst>
        </xdr:cNvPr>
        <xdr:cNvSpPr txBox="1"/>
      </xdr:nvSpPr>
      <xdr:spPr>
        <a:xfrm>
          <a:off x="480060" y="2011680"/>
          <a:ext cx="1143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5701EA-C6CC-4954-8DC3-1A1609D82A45}" type="TxLink">
            <a:rPr lang="en-US" sz="2000" b="1" i="0" u="none" strike="noStrike">
              <a:solidFill>
                <a:srgbClr val="A60303"/>
              </a:solidFill>
              <a:latin typeface="Calibri"/>
              <a:ea typeface="+mn-ea"/>
              <a:cs typeface="Calibri"/>
            </a:rPr>
            <a:pPr marL="0" indent="0" algn="ctr"/>
            <a:t> 10,381 </a:t>
          </a:fld>
          <a:endParaRPr lang="en-US" sz="2000" b="1" i="0" u="none" strike="noStrike">
            <a:solidFill>
              <a:srgbClr val="A60303"/>
            </a:solidFill>
            <a:latin typeface="Calibri"/>
            <a:ea typeface="+mn-ea"/>
            <a:cs typeface="Calibri"/>
          </a:endParaRPr>
        </a:p>
      </xdr:txBody>
    </xdr:sp>
    <xdr:clientData/>
  </xdr:twoCellAnchor>
  <xdr:twoCellAnchor>
    <xdr:from>
      <xdr:col>0</xdr:col>
      <xdr:colOff>487680</xdr:colOff>
      <xdr:row>16</xdr:row>
      <xdr:rowOff>30480</xdr:rowOff>
    </xdr:from>
    <xdr:to>
      <xdr:col>2</xdr:col>
      <xdr:colOff>411480</xdr:colOff>
      <xdr:row>18</xdr:row>
      <xdr:rowOff>0</xdr:rowOff>
    </xdr:to>
    <xdr:sp macro="" textlink="analysis_pivots!N9">
      <xdr:nvSpPr>
        <xdr:cNvPr id="42" name="TextBox 41">
          <a:extLst>
            <a:ext uri="{FF2B5EF4-FFF2-40B4-BE49-F238E27FC236}">
              <a16:creationId xmlns:a16="http://schemas.microsoft.com/office/drawing/2014/main" id="{55A98F63-C1AB-4DDF-9B63-0D6642AA1AEC}"/>
            </a:ext>
          </a:extLst>
        </xdr:cNvPr>
        <xdr:cNvSpPr txBox="1"/>
      </xdr:nvSpPr>
      <xdr:spPr>
        <a:xfrm>
          <a:off x="487680" y="2956560"/>
          <a:ext cx="1143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75C563-2461-4E72-BDEE-0A962441EB0F}" type="TxLink">
            <a:rPr lang="en-US" sz="2000" b="1" i="0" u="none" strike="noStrike">
              <a:solidFill>
                <a:srgbClr val="A60303"/>
              </a:solidFill>
              <a:latin typeface="Calibri"/>
              <a:ea typeface="+mn-ea"/>
              <a:cs typeface="Calibri"/>
            </a:rPr>
            <a:pPr marL="0" indent="0" algn="ctr"/>
            <a:t>28%</a:t>
          </a:fld>
          <a:endParaRPr lang="en-US" sz="2000" b="1" i="0" u="none" strike="noStrike">
            <a:solidFill>
              <a:srgbClr val="A60303"/>
            </a:solidFill>
            <a:latin typeface="Calibri"/>
            <a:ea typeface="+mn-ea"/>
            <a:cs typeface="Calibri"/>
          </a:endParaRPr>
        </a:p>
      </xdr:txBody>
    </xdr:sp>
    <xdr:clientData/>
  </xdr:twoCellAnchor>
  <xdr:twoCellAnchor>
    <xdr:from>
      <xdr:col>0</xdr:col>
      <xdr:colOff>495300</xdr:colOff>
      <xdr:row>21</xdr:row>
      <xdr:rowOff>99060</xdr:rowOff>
    </xdr:from>
    <xdr:to>
      <xdr:col>2</xdr:col>
      <xdr:colOff>419100</xdr:colOff>
      <xdr:row>23</xdr:row>
      <xdr:rowOff>68580</xdr:rowOff>
    </xdr:to>
    <xdr:sp macro="" textlink="analysis_pivots!N8">
      <xdr:nvSpPr>
        <xdr:cNvPr id="43" name="TextBox 42">
          <a:extLst>
            <a:ext uri="{FF2B5EF4-FFF2-40B4-BE49-F238E27FC236}">
              <a16:creationId xmlns:a16="http://schemas.microsoft.com/office/drawing/2014/main" id="{6511F808-7A55-437B-A707-B2AC75C7974A}"/>
            </a:ext>
          </a:extLst>
        </xdr:cNvPr>
        <xdr:cNvSpPr txBox="1"/>
      </xdr:nvSpPr>
      <xdr:spPr>
        <a:xfrm>
          <a:off x="495300" y="3939540"/>
          <a:ext cx="1143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58AE3C-65C5-4FE4-AD5C-855FD60E581D}" type="TxLink">
            <a:rPr lang="en-US" sz="2000" b="1" i="0" u="none" strike="noStrike">
              <a:solidFill>
                <a:srgbClr val="A60303"/>
              </a:solidFill>
              <a:latin typeface="Calibri"/>
              <a:ea typeface="+mn-ea"/>
              <a:cs typeface="Calibri"/>
            </a:rPr>
            <a:pPr marL="0" indent="0" algn="ctr"/>
            <a:t>72%</a:t>
          </a:fld>
          <a:endParaRPr lang="en-US" sz="2000" b="1" i="0" u="none" strike="noStrike">
            <a:solidFill>
              <a:srgbClr val="A60303"/>
            </a:solidFill>
            <a:latin typeface="Calibri"/>
            <a:ea typeface="+mn-ea"/>
            <a:cs typeface="Calibri"/>
          </a:endParaRPr>
        </a:p>
      </xdr:txBody>
    </xdr:sp>
    <xdr:clientData/>
  </xdr:twoCellAnchor>
  <xdr:twoCellAnchor>
    <xdr:from>
      <xdr:col>0</xdr:col>
      <xdr:colOff>403860</xdr:colOff>
      <xdr:row>26</xdr:row>
      <xdr:rowOff>137160</xdr:rowOff>
    </xdr:from>
    <xdr:to>
      <xdr:col>2</xdr:col>
      <xdr:colOff>327660</xdr:colOff>
      <xdr:row>28</xdr:row>
      <xdr:rowOff>106680</xdr:rowOff>
    </xdr:to>
    <xdr:sp macro="" textlink="analysis_pivots!S8">
      <xdr:nvSpPr>
        <xdr:cNvPr id="44" name="TextBox 43">
          <a:extLst>
            <a:ext uri="{FF2B5EF4-FFF2-40B4-BE49-F238E27FC236}">
              <a16:creationId xmlns:a16="http://schemas.microsoft.com/office/drawing/2014/main" id="{1DF602F9-155F-4D1C-9EF7-8EADE4DF6E27}"/>
            </a:ext>
          </a:extLst>
        </xdr:cNvPr>
        <xdr:cNvSpPr txBox="1"/>
      </xdr:nvSpPr>
      <xdr:spPr>
        <a:xfrm>
          <a:off x="403860" y="4892040"/>
          <a:ext cx="1143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3E80A9-E2D6-4AA9-9ABB-AC438C2565AF}" type="TxLink">
            <a:rPr lang="en-US" sz="2000" b="1" i="0" u="none" strike="noStrike">
              <a:solidFill>
                <a:srgbClr val="A60303"/>
              </a:solidFill>
              <a:latin typeface="Calibri"/>
              <a:ea typeface="+mn-ea"/>
              <a:cs typeface="Calibri"/>
            </a:rPr>
            <a:pPr marL="0" indent="0" algn="ctr"/>
            <a:t> 15 </a:t>
          </a:fld>
          <a:endParaRPr lang="en-US" sz="2000" b="1" i="0" u="none" strike="noStrike">
            <a:solidFill>
              <a:srgbClr val="A60303"/>
            </a:solidFill>
            <a:latin typeface="Calibri"/>
            <a:ea typeface="+mn-ea"/>
            <a:cs typeface="Calibri"/>
          </a:endParaRPr>
        </a:p>
      </xdr:txBody>
    </xdr:sp>
    <xdr:clientData/>
  </xdr:twoCellAnchor>
  <xdr:twoCellAnchor>
    <xdr:from>
      <xdr:col>1</xdr:col>
      <xdr:colOff>541020</xdr:colOff>
      <xdr:row>27</xdr:row>
      <xdr:rowOff>0</xdr:rowOff>
    </xdr:from>
    <xdr:to>
      <xdr:col>2</xdr:col>
      <xdr:colOff>594360</xdr:colOff>
      <xdr:row>28</xdr:row>
      <xdr:rowOff>83820</xdr:rowOff>
    </xdr:to>
    <xdr:sp macro="" textlink="">
      <xdr:nvSpPr>
        <xdr:cNvPr id="45" name="TextBox 44">
          <a:extLst>
            <a:ext uri="{FF2B5EF4-FFF2-40B4-BE49-F238E27FC236}">
              <a16:creationId xmlns:a16="http://schemas.microsoft.com/office/drawing/2014/main" id="{8165FB85-AAB4-C4F2-DEFF-4FEB5CFE817D}"/>
            </a:ext>
          </a:extLst>
        </xdr:cNvPr>
        <xdr:cNvSpPr txBox="1"/>
      </xdr:nvSpPr>
      <xdr:spPr>
        <a:xfrm>
          <a:off x="1150620" y="4937760"/>
          <a:ext cx="6629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A60303"/>
              </a:solidFill>
              <a:latin typeface="Calibri"/>
              <a:ea typeface="+mn-ea"/>
              <a:cs typeface="Calibri"/>
            </a:rPr>
            <a:t>Day</a:t>
          </a:r>
          <a:endParaRPr lang="en-US" sz="2000" b="1" i="0" u="none" strike="noStrike">
            <a:solidFill>
              <a:srgbClr val="A60303"/>
            </a:solidFill>
            <a:latin typeface="Calibri"/>
            <a:ea typeface="+mn-ea"/>
            <a:cs typeface="Calibri"/>
          </a:endParaRPr>
        </a:p>
        <a:p>
          <a:pPr marL="0" indent="0" algn="ctr"/>
          <a:endParaRPr lang="en-US" sz="2000" b="1" i="0" u="none" strike="noStrike">
            <a:solidFill>
              <a:srgbClr val="A60303"/>
            </a:solidFill>
            <a:latin typeface="Calibri"/>
            <a:ea typeface="+mn-ea"/>
            <a:cs typeface="Calibri"/>
          </a:endParaRPr>
        </a:p>
      </xdr:txBody>
    </xdr:sp>
    <xdr:clientData/>
  </xdr:twoCellAnchor>
  <xdr:twoCellAnchor>
    <xdr:from>
      <xdr:col>3</xdr:col>
      <xdr:colOff>190500</xdr:colOff>
      <xdr:row>4</xdr:row>
      <xdr:rowOff>91440</xdr:rowOff>
    </xdr:from>
    <xdr:to>
      <xdr:col>8</xdr:col>
      <xdr:colOff>251460</xdr:colOff>
      <xdr:row>16</xdr:row>
      <xdr:rowOff>68580</xdr:rowOff>
    </xdr:to>
    <xdr:graphicFrame macro="">
      <xdr:nvGraphicFramePr>
        <xdr:cNvPr id="20" name="Chart 19">
          <a:extLst>
            <a:ext uri="{FF2B5EF4-FFF2-40B4-BE49-F238E27FC236}">
              <a16:creationId xmlns:a16="http://schemas.microsoft.com/office/drawing/2014/main" id="{21D05404-1E1A-423F-8527-6AFD5F40E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4</xdr:col>
      <xdr:colOff>60960</xdr:colOff>
      <xdr:row>4</xdr:row>
      <xdr:rowOff>36042</xdr:rowOff>
    </xdr:from>
    <xdr:ext cx="2065020" cy="459258"/>
    <xdr:sp macro="" textlink="">
      <xdr:nvSpPr>
        <xdr:cNvPr id="22" name="TextBox 21">
          <a:extLst>
            <a:ext uri="{FF2B5EF4-FFF2-40B4-BE49-F238E27FC236}">
              <a16:creationId xmlns:a16="http://schemas.microsoft.com/office/drawing/2014/main" id="{EB5E4427-D682-4061-ADB4-589826C206B5}"/>
            </a:ext>
          </a:extLst>
        </xdr:cNvPr>
        <xdr:cNvSpPr txBox="1"/>
      </xdr:nvSpPr>
      <xdr:spPr>
        <a:xfrm>
          <a:off x="2499360" y="767562"/>
          <a:ext cx="2065020" cy="45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ln>
                <a:noFill/>
              </a:ln>
              <a:solidFill>
                <a:srgbClr val="000033"/>
              </a:solidFill>
              <a:latin typeface="+mn-lt"/>
              <a:ea typeface="+mn-ea"/>
              <a:cs typeface="+mn-cs"/>
            </a:rPr>
            <a:t>Sales by Platform</a:t>
          </a:r>
        </a:p>
      </xdr:txBody>
    </xdr:sp>
    <xdr:clientData/>
  </xdr:oneCellAnchor>
  <xdr:twoCellAnchor editAs="oneCell">
    <xdr:from>
      <xdr:col>7</xdr:col>
      <xdr:colOff>259080</xdr:colOff>
      <xdr:row>4</xdr:row>
      <xdr:rowOff>53339</xdr:rowOff>
    </xdr:from>
    <xdr:to>
      <xdr:col>8</xdr:col>
      <xdr:colOff>146138</xdr:colOff>
      <xdr:row>6</xdr:row>
      <xdr:rowOff>152400</xdr:rowOff>
    </xdr:to>
    <xdr:pic>
      <xdr:nvPicPr>
        <xdr:cNvPr id="32" name="Graphic 31" descr="Kiosk outline">
          <a:extLst>
            <a:ext uri="{FF2B5EF4-FFF2-40B4-BE49-F238E27FC236}">
              <a16:creationId xmlns:a16="http://schemas.microsoft.com/office/drawing/2014/main" id="{46E6410E-21C9-F6C6-D7FB-C97C6B725D9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526280" y="784859"/>
          <a:ext cx="496658" cy="464821"/>
        </a:xfrm>
        <a:prstGeom prst="rect">
          <a:avLst/>
        </a:prstGeom>
      </xdr:spPr>
    </xdr:pic>
    <xdr:clientData/>
  </xdr:twoCellAnchor>
  <xdr:twoCellAnchor>
    <xdr:from>
      <xdr:col>9</xdr:col>
      <xdr:colOff>297180</xdr:colOff>
      <xdr:row>4</xdr:row>
      <xdr:rowOff>45720</xdr:rowOff>
    </xdr:from>
    <xdr:to>
      <xdr:col>13</xdr:col>
      <xdr:colOff>7620</xdr:colOff>
      <xdr:row>6</xdr:row>
      <xdr:rowOff>175260</xdr:rowOff>
    </xdr:to>
    <xdr:sp macro="" textlink="">
      <xdr:nvSpPr>
        <xdr:cNvPr id="38" name="TextBox 37">
          <a:extLst>
            <a:ext uri="{FF2B5EF4-FFF2-40B4-BE49-F238E27FC236}">
              <a16:creationId xmlns:a16="http://schemas.microsoft.com/office/drawing/2014/main" id="{B683C3D8-0BCC-2BEC-9271-C810CC2D60E9}"/>
            </a:ext>
          </a:extLst>
        </xdr:cNvPr>
        <xdr:cNvSpPr txBox="1"/>
      </xdr:nvSpPr>
      <xdr:spPr>
        <a:xfrm>
          <a:off x="5783580" y="777240"/>
          <a:ext cx="21488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ln>
                <a:noFill/>
              </a:ln>
              <a:solidFill>
                <a:srgbClr val="000033"/>
              </a:solidFill>
              <a:latin typeface="+mn-lt"/>
              <a:ea typeface="+mn-ea"/>
              <a:cs typeface="+mn-cs"/>
            </a:rPr>
            <a:t>Orders by Region</a:t>
          </a:r>
        </a:p>
      </xdr:txBody>
    </xdr:sp>
    <xdr:clientData/>
  </xdr:twoCellAnchor>
  <xdr:twoCellAnchor>
    <xdr:from>
      <xdr:col>8</xdr:col>
      <xdr:colOff>569933</xdr:colOff>
      <xdr:row>4</xdr:row>
      <xdr:rowOff>38100</xdr:rowOff>
    </xdr:from>
    <xdr:to>
      <xdr:col>14</xdr:col>
      <xdr:colOff>22860</xdr:colOff>
      <xdr:row>16</xdr:row>
      <xdr:rowOff>83821</xdr:rowOff>
    </xdr:to>
    <xdr:graphicFrame macro="">
      <xdr:nvGraphicFramePr>
        <xdr:cNvPr id="46" name="Chart 45">
          <a:extLst>
            <a:ext uri="{FF2B5EF4-FFF2-40B4-BE49-F238E27FC236}">
              <a16:creationId xmlns:a16="http://schemas.microsoft.com/office/drawing/2014/main" id="{9850581B-FB15-4B51-A09B-512E0A6F3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213361</xdr:colOff>
      <xdr:row>5</xdr:row>
      <xdr:rowOff>121920</xdr:rowOff>
    </xdr:from>
    <xdr:to>
      <xdr:col>19</xdr:col>
      <xdr:colOff>236220</xdr:colOff>
      <xdr:row>16</xdr:row>
      <xdr:rowOff>76200</xdr:rowOff>
    </xdr:to>
    <xdr:graphicFrame macro="">
      <xdr:nvGraphicFramePr>
        <xdr:cNvPr id="49" name="Chart 48">
          <a:extLst>
            <a:ext uri="{FF2B5EF4-FFF2-40B4-BE49-F238E27FC236}">
              <a16:creationId xmlns:a16="http://schemas.microsoft.com/office/drawing/2014/main" id="{6A2EE69E-384B-4E5D-BB2B-40BC7B9B2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15</xdr:col>
      <xdr:colOff>0</xdr:colOff>
      <xdr:row>4</xdr:row>
      <xdr:rowOff>36042</xdr:rowOff>
    </xdr:from>
    <xdr:ext cx="2065020" cy="459258"/>
    <xdr:sp macro="" textlink="">
      <xdr:nvSpPr>
        <xdr:cNvPr id="50" name="TextBox 49">
          <a:extLst>
            <a:ext uri="{FF2B5EF4-FFF2-40B4-BE49-F238E27FC236}">
              <a16:creationId xmlns:a16="http://schemas.microsoft.com/office/drawing/2014/main" id="{4EDD64CE-AD11-4928-AA7B-F41D68572604}"/>
            </a:ext>
          </a:extLst>
        </xdr:cNvPr>
        <xdr:cNvSpPr txBox="1"/>
      </xdr:nvSpPr>
      <xdr:spPr>
        <a:xfrm>
          <a:off x="9144000" y="767562"/>
          <a:ext cx="2065020" cy="45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a:ln>
              <a:noFill/>
            </a:ln>
            <a:solidFill>
              <a:srgbClr val="000033"/>
            </a:solidFill>
            <a:latin typeface="+mn-lt"/>
            <a:ea typeface="+mn-ea"/>
            <a:cs typeface="+mn-cs"/>
          </a:endParaRPr>
        </a:p>
      </xdr:txBody>
    </xdr:sp>
    <xdr:clientData/>
  </xdr:oneCellAnchor>
  <xdr:oneCellAnchor>
    <xdr:from>
      <xdr:col>14</xdr:col>
      <xdr:colOff>144780</xdr:colOff>
      <xdr:row>4</xdr:row>
      <xdr:rowOff>66522</xdr:rowOff>
    </xdr:from>
    <xdr:ext cx="2682240" cy="459258"/>
    <xdr:sp macro="" textlink="">
      <xdr:nvSpPr>
        <xdr:cNvPr id="52" name="TextBox 51">
          <a:extLst>
            <a:ext uri="{FF2B5EF4-FFF2-40B4-BE49-F238E27FC236}">
              <a16:creationId xmlns:a16="http://schemas.microsoft.com/office/drawing/2014/main" id="{1705C0BE-7394-4F68-BFF2-0BF373D14539}"/>
            </a:ext>
          </a:extLst>
        </xdr:cNvPr>
        <xdr:cNvSpPr txBox="1"/>
      </xdr:nvSpPr>
      <xdr:spPr>
        <a:xfrm>
          <a:off x="8679180" y="798042"/>
          <a:ext cx="2682240" cy="45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ln>
                <a:noFill/>
              </a:ln>
              <a:solidFill>
                <a:srgbClr val="000033"/>
              </a:solidFill>
              <a:latin typeface="+mn-lt"/>
              <a:ea typeface="+mn-ea"/>
              <a:cs typeface="+mn-cs"/>
            </a:rPr>
            <a:t>On-Time Delivery Rate</a:t>
          </a:r>
        </a:p>
      </xdr:txBody>
    </xdr:sp>
    <xdr:clientData/>
  </xdr:oneCellAnchor>
  <xdr:twoCellAnchor editAs="oneCell">
    <xdr:from>
      <xdr:col>12</xdr:col>
      <xdr:colOff>487680</xdr:colOff>
      <xdr:row>3</xdr:row>
      <xdr:rowOff>160020</xdr:rowOff>
    </xdr:from>
    <xdr:to>
      <xdr:col>13</xdr:col>
      <xdr:colOff>472440</xdr:colOff>
      <xdr:row>7</xdr:row>
      <xdr:rowOff>22860</xdr:rowOff>
    </xdr:to>
    <xdr:pic>
      <xdr:nvPicPr>
        <xdr:cNvPr id="54" name="Graphic 53" descr="Map with pin outline">
          <a:extLst>
            <a:ext uri="{FF2B5EF4-FFF2-40B4-BE49-F238E27FC236}">
              <a16:creationId xmlns:a16="http://schemas.microsoft.com/office/drawing/2014/main" id="{79765CC9-40A6-0D54-9077-CBA748E2D0D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802880" y="708660"/>
          <a:ext cx="594360" cy="594360"/>
        </a:xfrm>
        <a:prstGeom prst="rect">
          <a:avLst/>
        </a:prstGeom>
      </xdr:spPr>
    </xdr:pic>
    <xdr:clientData/>
  </xdr:twoCellAnchor>
  <xdr:twoCellAnchor editAs="oneCell">
    <xdr:from>
      <xdr:col>18</xdr:col>
      <xdr:colOff>259080</xdr:colOff>
      <xdr:row>4</xdr:row>
      <xdr:rowOff>22860</xdr:rowOff>
    </xdr:from>
    <xdr:to>
      <xdr:col>19</xdr:col>
      <xdr:colOff>228600</xdr:colOff>
      <xdr:row>7</xdr:row>
      <xdr:rowOff>53340</xdr:rowOff>
    </xdr:to>
    <xdr:pic>
      <xdr:nvPicPr>
        <xdr:cNvPr id="56" name="Graphic 55" descr="Packing Box Open outline">
          <a:extLst>
            <a:ext uri="{FF2B5EF4-FFF2-40B4-BE49-F238E27FC236}">
              <a16:creationId xmlns:a16="http://schemas.microsoft.com/office/drawing/2014/main" id="{D8C7FC13-5B6D-DC25-7D02-B80531692DC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1231880" y="754380"/>
          <a:ext cx="579120" cy="579120"/>
        </a:xfrm>
        <a:prstGeom prst="rect">
          <a:avLst/>
        </a:prstGeom>
      </xdr:spPr>
    </xdr:pic>
    <xdr:clientData/>
  </xdr:twoCellAnchor>
  <xdr:twoCellAnchor>
    <xdr:from>
      <xdr:col>14</xdr:col>
      <xdr:colOff>220981</xdr:colOff>
      <xdr:row>18</xdr:row>
      <xdr:rowOff>167640</xdr:rowOff>
    </xdr:from>
    <xdr:to>
      <xdr:col>19</xdr:col>
      <xdr:colOff>228600</xdr:colOff>
      <xdr:row>29</xdr:row>
      <xdr:rowOff>77541</xdr:rowOff>
    </xdr:to>
    <mc:AlternateContent xmlns:mc="http://schemas.openxmlformats.org/markup-compatibility/2006">
      <mc:Choice xmlns:cx1="http://schemas.microsoft.com/office/drawing/2015/9/8/chartex" Requires="cx1">
        <xdr:graphicFrame macro="">
          <xdr:nvGraphicFramePr>
            <xdr:cNvPr id="57" name="Chart 56">
              <a:extLst>
                <a:ext uri="{FF2B5EF4-FFF2-40B4-BE49-F238E27FC236}">
                  <a16:creationId xmlns:a16="http://schemas.microsoft.com/office/drawing/2014/main" id="{C6FA53F4-11FE-46E7-84FD-711DF3CD2D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8755381" y="3459480"/>
              <a:ext cx="3055619" cy="19215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14</xdr:col>
      <xdr:colOff>274320</xdr:colOff>
      <xdr:row>17</xdr:row>
      <xdr:rowOff>74142</xdr:rowOff>
    </xdr:from>
    <xdr:ext cx="2476500" cy="459258"/>
    <xdr:sp macro="" textlink="">
      <xdr:nvSpPr>
        <xdr:cNvPr id="59" name="TextBox 58">
          <a:extLst>
            <a:ext uri="{FF2B5EF4-FFF2-40B4-BE49-F238E27FC236}">
              <a16:creationId xmlns:a16="http://schemas.microsoft.com/office/drawing/2014/main" id="{38965807-3565-40CD-BF3D-A74119AB7C56}"/>
            </a:ext>
          </a:extLst>
        </xdr:cNvPr>
        <xdr:cNvSpPr txBox="1"/>
      </xdr:nvSpPr>
      <xdr:spPr>
        <a:xfrm>
          <a:off x="8808720" y="3183102"/>
          <a:ext cx="2476500" cy="45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ln>
                <a:noFill/>
              </a:ln>
              <a:solidFill>
                <a:srgbClr val="000033"/>
              </a:solidFill>
              <a:latin typeface="+mn-lt"/>
              <a:ea typeface="+mn-ea"/>
              <a:cs typeface="+mn-cs"/>
            </a:rPr>
            <a:t>Payment Method</a:t>
          </a:r>
        </a:p>
      </xdr:txBody>
    </xdr:sp>
    <xdr:clientData/>
  </xdr:oneCellAnchor>
  <xdr:twoCellAnchor editAs="oneCell">
    <xdr:from>
      <xdr:col>18</xdr:col>
      <xdr:colOff>68580</xdr:colOff>
      <xdr:row>16</xdr:row>
      <xdr:rowOff>144780</xdr:rowOff>
    </xdr:from>
    <xdr:to>
      <xdr:col>19</xdr:col>
      <xdr:colOff>160020</xdr:colOff>
      <xdr:row>20</xdr:row>
      <xdr:rowOff>114300</xdr:rowOff>
    </xdr:to>
    <xdr:pic>
      <xdr:nvPicPr>
        <xdr:cNvPr id="62" name="Graphic 61" descr="Transfer1 outline">
          <a:extLst>
            <a:ext uri="{FF2B5EF4-FFF2-40B4-BE49-F238E27FC236}">
              <a16:creationId xmlns:a16="http://schemas.microsoft.com/office/drawing/2014/main" id="{1F8DCDF3-1825-3E27-9B39-1AF16B0288E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1041380" y="3070860"/>
          <a:ext cx="701040" cy="701040"/>
        </a:xfrm>
        <a:prstGeom prst="rect">
          <a:avLst/>
        </a:prstGeom>
      </xdr:spPr>
    </xdr:pic>
    <xdr:clientData/>
  </xdr:twoCellAnchor>
  <xdr:twoCellAnchor>
    <xdr:from>
      <xdr:col>8</xdr:col>
      <xdr:colOff>504492</xdr:colOff>
      <xdr:row>19</xdr:row>
      <xdr:rowOff>57815</xdr:rowOff>
    </xdr:from>
    <xdr:to>
      <xdr:col>13</xdr:col>
      <xdr:colOff>573072</xdr:colOff>
      <xdr:row>29</xdr:row>
      <xdr:rowOff>138823</xdr:rowOff>
    </xdr:to>
    <xdr:graphicFrame macro="">
      <xdr:nvGraphicFramePr>
        <xdr:cNvPr id="21" name="Chart 20">
          <a:extLst>
            <a:ext uri="{FF2B5EF4-FFF2-40B4-BE49-F238E27FC236}">
              <a16:creationId xmlns:a16="http://schemas.microsoft.com/office/drawing/2014/main" id="{5514EF17-34BD-4BAF-AFED-07CF32FAF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oneCellAnchor>
    <xdr:from>
      <xdr:col>8</xdr:col>
      <xdr:colOff>450668</xdr:colOff>
      <xdr:row>17</xdr:row>
      <xdr:rowOff>94099</xdr:rowOff>
    </xdr:from>
    <xdr:ext cx="3171855" cy="459258"/>
    <xdr:sp macro="" textlink="">
      <xdr:nvSpPr>
        <xdr:cNvPr id="26" name="TextBox 25">
          <a:extLst>
            <a:ext uri="{FF2B5EF4-FFF2-40B4-BE49-F238E27FC236}">
              <a16:creationId xmlns:a16="http://schemas.microsoft.com/office/drawing/2014/main" id="{1452C261-CBD0-4BFB-89AD-958911F06083}"/>
            </a:ext>
          </a:extLst>
        </xdr:cNvPr>
        <xdr:cNvSpPr txBox="1"/>
      </xdr:nvSpPr>
      <xdr:spPr>
        <a:xfrm>
          <a:off x="5337144" y="3178385"/>
          <a:ext cx="3171855" cy="45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ln>
                <a:noFill/>
              </a:ln>
              <a:solidFill>
                <a:srgbClr val="000033"/>
              </a:solidFill>
              <a:latin typeface="+mn-lt"/>
              <a:ea typeface="+mn-ea"/>
              <a:cs typeface="+mn-cs"/>
            </a:rPr>
            <a:t>Delivery Status Breakdown </a:t>
          </a:r>
        </a:p>
      </xdr:txBody>
    </xdr:sp>
    <xdr:clientData/>
  </xdr:oneCellAnchor>
  <xdr:twoCellAnchor>
    <xdr:from>
      <xdr:col>3</xdr:col>
      <xdr:colOff>137499</xdr:colOff>
      <xdr:row>18</xdr:row>
      <xdr:rowOff>137160</xdr:rowOff>
    </xdr:from>
    <xdr:to>
      <xdr:col>8</xdr:col>
      <xdr:colOff>251460</xdr:colOff>
      <xdr:row>29</xdr:row>
      <xdr:rowOff>60960</xdr:rowOff>
    </xdr:to>
    <xdr:graphicFrame macro="">
      <xdr:nvGraphicFramePr>
        <xdr:cNvPr id="29" name="Chart 28">
          <a:extLst>
            <a:ext uri="{FF2B5EF4-FFF2-40B4-BE49-F238E27FC236}">
              <a16:creationId xmlns:a16="http://schemas.microsoft.com/office/drawing/2014/main" id="{FE0D98F1-DC24-4C49-9A65-1B6370483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oneCellAnchor>
    <xdr:from>
      <xdr:col>3</xdr:col>
      <xdr:colOff>304800</xdr:colOff>
      <xdr:row>17</xdr:row>
      <xdr:rowOff>58902</xdr:rowOff>
    </xdr:from>
    <xdr:ext cx="3246120" cy="459258"/>
    <xdr:sp macro="" textlink="">
      <xdr:nvSpPr>
        <xdr:cNvPr id="31" name="TextBox 30">
          <a:extLst>
            <a:ext uri="{FF2B5EF4-FFF2-40B4-BE49-F238E27FC236}">
              <a16:creationId xmlns:a16="http://schemas.microsoft.com/office/drawing/2014/main" id="{1919CDF3-FA09-4D7F-9FC2-E1114F115389}"/>
            </a:ext>
          </a:extLst>
        </xdr:cNvPr>
        <xdr:cNvSpPr txBox="1"/>
      </xdr:nvSpPr>
      <xdr:spPr>
        <a:xfrm>
          <a:off x="2133600" y="3167862"/>
          <a:ext cx="3246120" cy="45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ln>
                <a:noFill/>
              </a:ln>
              <a:solidFill>
                <a:srgbClr val="000033"/>
              </a:solidFill>
              <a:latin typeface="+mn-lt"/>
              <a:ea typeface="+mn-ea"/>
              <a:cs typeface="+mn-cs"/>
            </a:rPr>
            <a:t>Top-Ordered Products</a:t>
          </a:r>
        </a:p>
      </xdr:txBody>
    </xdr:sp>
    <xdr:clientData/>
  </xdr:oneCellAnchor>
  <xdr:twoCellAnchor editAs="oneCell">
    <xdr:from>
      <xdr:col>13</xdr:col>
      <xdr:colOff>10402</xdr:colOff>
      <xdr:row>17</xdr:row>
      <xdr:rowOff>99060</xdr:rowOff>
    </xdr:from>
    <xdr:to>
      <xdr:col>13</xdr:col>
      <xdr:colOff>560252</xdr:colOff>
      <xdr:row>20</xdr:row>
      <xdr:rowOff>99060</xdr:rowOff>
    </xdr:to>
    <xdr:pic>
      <xdr:nvPicPr>
        <xdr:cNvPr id="34" name="Graphic 33" descr="Mailbox outline">
          <a:extLst>
            <a:ext uri="{FF2B5EF4-FFF2-40B4-BE49-F238E27FC236}">
              <a16:creationId xmlns:a16="http://schemas.microsoft.com/office/drawing/2014/main" id="{7C4337F1-2627-88D4-A4EC-7331B84D5BFD}"/>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7950926" y="3183346"/>
          <a:ext cx="549850" cy="544285"/>
        </a:xfrm>
        <a:prstGeom prst="rect">
          <a:avLst/>
        </a:prstGeom>
      </xdr:spPr>
    </xdr:pic>
    <xdr:clientData/>
  </xdr:twoCellAnchor>
  <xdr:twoCellAnchor editAs="oneCell">
    <xdr:from>
      <xdr:col>7</xdr:col>
      <xdr:colOff>188100</xdr:colOff>
      <xdr:row>17</xdr:row>
      <xdr:rowOff>50940</xdr:rowOff>
    </xdr:from>
    <xdr:to>
      <xdr:col>8</xdr:col>
      <xdr:colOff>152400</xdr:colOff>
      <xdr:row>20</xdr:row>
      <xdr:rowOff>7620</xdr:rowOff>
    </xdr:to>
    <xdr:pic>
      <xdr:nvPicPr>
        <xdr:cNvPr id="47" name="Graphic 46" descr="Search Inventory outline">
          <a:extLst>
            <a:ext uri="{FF2B5EF4-FFF2-40B4-BE49-F238E27FC236}">
              <a16:creationId xmlns:a16="http://schemas.microsoft.com/office/drawing/2014/main" id="{595395D1-7A2D-6A2B-D0D4-2CEB6C5CA6A1}"/>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4455300" y="3159900"/>
          <a:ext cx="573900" cy="505320"/>
        </a:xfrm>
        <a:prstGeom prst="rect">
          <a:avLst/>
        </a:prstGeom>
      </xdr:spPr>
    </xdr:pic>
    <xdr:clientData/>
  </xdr:twoCellAnchor>
  <xdr:twoCellAnchor editAs="oneCell">
    <xdr:from>
      <xdr:col>19</xdr:col>
      <xdr:colOff>403860</xdr:colOff>
      <xdr:row>21</xdr:row>
      <xdr:rowOff>114300</xdr:rowOff>
    </xdr:from>
    <xdr:to>
      <xdr:col>22</xdr:col>
      <xdr:colOff>518160</xdr:colOff>
      <xdr:row>25</xdr:row>
      <xdr:rowOff>91440</xdr:rowOff>
    </xdr:to>
    <mc:AlternateContent xmlns:mc="http://schemas.openxmlformats.org/markup-compatibility/2006" xmlns:a14="http://schemas.microsoft.com/office/drawing/2010/main">
      <mc:Choice Requires="a14">
        <xdr:graphicFrame macro="">
          <xdr:nvGraphicFramePr>
            <xdr:cNvPr id="64" name="الحالة 1">
              <a:extLst>
                <a:ext uri="{FF2B5EF4-FFF2-40B4-BE49-F238E27FC236}">
                  <a16:creationId xmlns:a16="http://schemas.microsoft.com/office/drawing/2014/main" id="{E1067678-6C94-4940-9BC8-E860247D5869}"/>
                </a:ext>
              </a:extLst>
            </xdr:cNvPr>
            <xdr:cNvGraphicFramePr/>
          </xdr:nvGraphicFramePr>
          <xdr:xfrm>
            <a:off x="0" y="0"/>
            <a:ext cx="0" cy="0"/>
          </xdr:xfrm>
          <a:graphic>
            <a:graphicData uri="http://schemas.microsoft.com/office/drawing/2010/slicer">
              <sle:slicer xmlns:sle="http://schemas.microsoft.com/office/drawing/2010/slicer" name="الحالة 1"/>
            </a:graphicData>
          </a:graphic>
        </xdr:graphicFrame>
      </mc:Choice>
      <mc:Fallback xmlns="">
        <xdr:sp macro="" textlink="">
          <xdr:nvSpPr>
            <xdr:cNvPr id="0" name=""/>
            <xdr:cNvSpPr>
              <a:spLocks noTextEdit="1"/>
            </xdr:cNvSpPr>
          </xdr:nvSpPr>
          <xdr:spPr>
            <a:xfrm>
              <a:off x="11986260" y="3954780"/>
              <a:ext cx="1943100" cy="708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419100</xdr:colOff>
      <xdr:row>17</xdr:row>
      <xdr:rowOff>7620</xdr:rowOff>
    </xdr:from>
    <xdr:to>
      <xdr:col>22</xdr:col>
      <xdr:colOff>518160</xdr:colOff>
      <xdr:row>21</xdr:row>
      <xdr:rowOff>15240</xdr:rowOff>
    </xdr:to>
    <mc:AlternateContent xmlns:mc="http://schemas.openxmlformats.org/markup-compatibility/2006" xmlns:a14="http://schemas.microsoft.com/office/drawing/2010/main">
      <mc:Choice Requires="a14">
        <xdr:graphicFrame macro="">
          <xdr:nvGraphicFramePr>
            <xdr:cNvPr id="65" name="نوع العميل 1">
              <a:extLst>
                <a:ext uri="{FF2B5EF4-FFF2-40B4-BE49-F238E27FC236}">
                  <a16:creationId xmlns:a16="http://schemas.microsoft.com/office/drawing/2014/main" id="{15AF2427-6454-43D5-B0EC-FD2B73DAFDF5}"/>
                </a:ext>
              </a:extLst>
            </xdr:cNvPr>
            <xdr:cNvGraphicFramePr/>
          </xdr:nvGraphicFramePr>
          <xdr:xfrm>
            <a:off x="0" y="0"/>
            <a:ext cx="0" cy="0"/>
          </xdr:xfrm>
          <a:graphic>
            <a:graphicData uri="http://schemas.microsoft.com/office/drawing/2010/slicer">
              <sle:slicer xmlns:sle="http://schemas.microsoft.com/office/drawing/2010/slicer" name="نوع العميل 1"/>
            </a:graphicData>
          </a:graphic>
        </xdr:graphicFrame>
      </mc:Choice>
      <mc:Fallback xmlns="">
        <xdr:sp macro="" textlink="">
          <xdr:nvSpPr>
            <xdr:cNvPr id="0" name=""/>
            <xdr:cNvSpPr>
              <a:spLocks noTextEdit="1"/>
            </xdr:cNvSpPr>
          </xdr:nvSpPr>
          <xdr:spPr>
            <a:xfrm>
              <a:off x="12001500" y="3116580"/>
              <a:ext cx="1927860" cy="73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411480</xdr:colOff>
      <xdr:row>8</xdr:row>
      <xdr:rowOff>83820</xdr:rowOff>
    </xdr:from>
    <xdr:to>
      <xdr:col>22</xdr:col>
      <xdr:colOff>510540</xdr:colOff>
      <xdr:row>16</xdr:row>
      <xdr:rowOff>60960</xdr:rowOff>
    </xdr:to>
    <mc:AlternateContent xmlns:mc="http://schemas.openxmlformats.org/markup-compatibility/2006" xmlns:a14="http://schemas.microsoft.com/office/drawing/2010/main">
      <mc:Choice Requires="a14">
        <xdr:graphicFrame macro="">
          <xdr:nvGraphicFramePr>
            <xdr:cNvPr id="67" name="منصة البيع  1">
              <a:extLst>
                <a:ext uri="{FF2B5EF4-FFF2-40B4-BE49-F238E27FC236}">
                  <a16:creationId xmlns:a16="http://schemas.microsoft.com/office/drawing/2014/main" id="{7FA3E4DC-34D6-4CA8-BFFA-BB7EB53DCDB4}"/>
                </a:ext>
              </a:extLst>
            </xdr:cNvPr>
            <xdr:cNvGraphicFramePr/>
          </xdr:nvGraphicFramePr>
          <xdr:xfrm>
            <a:off x="0" y="0"/>
            <a:ext cx="0" cy="0"/>
          </xdr:xfrm>
          <a:graphic>
            <a:graphicData uri="http://schemas.microsoft.com/office/drawing/2010/slicer">
              <sle:slicer xmlns:sle="http://schemas.microsoft.com/office/drawing/2010/slicer" name="منصة البيع  1"/>
            </a:graphicData>
          </a:graphic>
        </xdr:graphicFrame>
      </mc:Choice>
      <mc:Fallback xmlns="">
        <xdr:sp macro="" textlink="">
          <xdr:nvSpPr>
            <xdr:cNvPr id="0" name=""/>
            <xdr:cNvSpPr>
              <a:spLocks noTextEdit="1"/>
            </xdr:cNvSpPr>
          </xdr:nvSpPr>
          <xdr:spPr>
            <a:xfrm>
              <a:off x="11993880" y="1546860"/>
              <a:ext cx="192786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OHAMED ATEF" refreshedDate="46147.801504629628" createdVersion="8" refreshedVersion="8" minRefreshableVersion="3" recordCount="126" xr:uid="{55F8CB46-0034-4451-944A-BCFD6F8F7D3B}">
  <cacheSource type="worksheet">
    <worksheetSource name="Table13"/>
  </cacheSource>
  <cacheFields count="23">
    <cacheField name="أسم العميل" numFmtId="0">
      <sharedItems/>
    </cacheField>
    <cacheField name="نوع العميل" numFmtId="0">
      <sharedItems count="2">
        <s v="أفراد"/>
        <s v="شركات"/>
      </sharedItems>
    </cacheField>
    <cacheField name="العنوان" numFmtId="0">
      <sharedItems count="31">
        <s v="الجيزه"/>
        <s v="اسكندريه"/>
        <s v="الساحل الشمالى"/>
        <s v="الغردقه"/>
        <s v="غير معروف"/>
        <s v="التجمع الخامس"/>
        <s v="العباسيه"/>
        <s v="مدينه نصر"/>
        <s v="المقطم"/>
        <s v="القاهره الجديده"/>
        <s v="المعادى"/>
        <s v="القناطر"/>
        <s v="العين السخنه"/>
        <s v="القطاميه"/>
        <s v="الشروق"/>
        <s v="حدايق الاهرام"/>
        <s v="لافيستا العين السخنه"/>
        <s v="الرحاب"/>
        <s v="العبور"/>
        <s v="اسيوط"/>
        <s v="مدينه بدر"/>
        <s v="ابو الغيط"/>
        <s v="السويس"/>
        <s v="الزمالك"/>
        <s v="مخزن شيك هومز"/>
        <s v="مدينتى"/>
        <s v="المخزن"/>
        <s v="شبرا"/>
        <s v="مخزن اوسكار في القناطر" u="1"/>
        <s v="المخزن ابو الغيط" u="1"/>
        <s v="Madinet Badr" u="1"/>
      </sharedItems>
    </cacheField>
    <cacheField name="منصة البيع " numFmtId="0">
      <sharedItems count="8">
        <s v="هومزمارت"/>
        <s v="شيك هومز"/>
        <s v="فيس بوك"/>
        <s v="تاكى"/>
        <s v="اوسكار ريتن"/>
        <s v="السويس"/>
        <s v="منزلى"/>
        <s v="كيمت"/>
      </sharedItems>
    </cacheField>
    <cacheField name="الصنف" numFmtId="0">
      <sharedItems count="7">
        <s v="سرير"/>
        <s v="تربيزه"/>
        <s v="كنبه"/>
        <s v="ركنة"/>
        <s v="كرسى"/>
        <s v="شيزلونج"/>
        <s v="سرير " u="1"/>
      </sharedItems>
    </cacheField>
    <cacheField name="نوع الصنف" numFmtId="0">
      <sharedItems/>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ntainsBlank="1"/>
    </cacheField>
    <cacheField name="لون القماش" numFmtId="0">
      <sharedItems containsBlank="1"/>
    </cacheField>
    <cacheField name="المنتج" numFmtId="0">
      <sharedItems containsBlank="1"/>
    </cacheField>
    <cacheField name="سعر البيع " numFmtId="165">
      <sharedItems containsBlank="1" containsMixedTypes="1" containsNumber="1" minValue="4020" maxValue="22000"/>
    </cacheField>
    <cacheField name="طريقه الدفع " numFmtId="165">
      <sharedItems count="5">
        <s v="مسبق الدفع"/>
        <s v="كاش"/>
        <s v="حساب شركه"/>
        <s v="غير موجود"/>
        <s v="مسبق الدفع " u="1"/>
      </sharedItems>
    </cacheField>
    <cacheField name="ميعاد الطلب" numFmtId="0">
      <sharedItems containsNonDate="0" containsDate="1" containsString="0" containsBlank="1" minDate="2024-07-27T00:00:00" maxDate="2024-12-15T00:00:00"/>
    </cacheField>
    <cacheField name="مده التسليم (المحدده)" numFmtId="0">
      <sharedItems containsSemiMixedTypes="0" containsString="0" containsNumber="1" containsInteger="1" minValue="0" maxValue="67"/>
    </cacheField>
    <cacheField name="مده التسليم (الفعليه)" numFmtId="0">
      <sharedItems containsSemiMixedTypes="0" containsString="0" containsNumber="1" containsInteger="1" minValue="0" maxValue="59"/>
    </cacheField>
    <cacheField name="حاله الطلب" numFmtId="0">
      <sharedItems count="4">
        <s v="تم في الموعد"/>
        <s v="ملغي"/>
        <s v="تأخر في التسليم"/>
        <s v="" u="1"/>
      </sharedItems>
    </cacheField>
    <cacheField name="مده التسليم (المحدده)2" numFmtId="0">
      <sharedItems containsSemiMixedTypes="0" containsString="0" containsNumber="1" containsInteger="1" minValue="0" maxValue="67"/>
    </cacheField>
    <cacheField name="مده التسليم (الفعليه)3" numFmtId="0">
      <sharedItems containsSemiMixedTypes="0" containsString="0" containsNumber="1" containsInteger="1" minValue="0" maxValue="59"/>
    </cacheField>
    <cacheField name="حاله الطلب4" numFmtId="0">
      <sharedItems/>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الحالة" numFmtId="0">
      <sharedItems count="2">
        <s v="تم التسليم"/>
        <s v="لاغى"/>
      </sharedItems>
    </cacheField>
  </cacheFields>
  <extLst>
    <ext xmlns:x14="http://schemas.microsoft.com/office/spreadsheetml/2009/9/main" uri="{725AE2AE-9491-48be-B2B4-4EB974FC3084}">
      <x14:pivotCacheDefinition pivotCacheId="198772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x v="0"/>
    <x v="0"/>
    <x v="0"/>
    <x v="0"/>
    <s v="منطبق"/>
    <m/>
    <m/>
    <m/>
    <m/>
    <s v="سرير منطبق الحديد ابيض والقماش ابيض "/>
    <n v="10160"/>
    <x v="0"/>
    <d v="2024-07-27T00:00:00"/>
    <n v="0"/>
    <n v="14"/>
    <x v="0"/>
    <n v="0"/>
    <n v="14"/>
    <s v="تم في الموعد"/>
    <m/>
    <d v="2024-08-10T00:00:00"/>
    <x v="0"/>
  </r>
  <r>
    <s v="محمود"/>
    <x v="0"/>
    <x v="1"/>
    <x v="0"/>
    <x v="0"/>
    <s v="منطبق"/>
    <m/>
    <m/>
    <m/>
    <m/>
    <s v="سرير منطبق اسود والقماش اسود "/>
    <n v="10160"/>
    <x v="1"/>
    <d v="2024-07-28T00:00:00"/>
    <n v="0"/>
    <n v="14"/>
    <x v="0"/>
    <n v="0"/>
    <n v="14"/>
    <s v="تم في الموعد"/>
    <m/>
    <d v="2024-08-11T00:00:00"/>
    <x v="0"/>
  </r>
  <r>
    <s v="سعيد"/>
    <x v="0"/>
    <x v="2"/>
    <x v="0"/>
    <x v="0"/>
    <s v="دورين"/>
    <s v="كيفنج"/>
    <n v="90"/>
    <s v="ازرق"/>
    <m/>
    <s v="سرير كيفينج مقاس 90 لون ازرق "/>
    <n v="11455"/>
    <x v="1"/>
    <d v="2024-07-27T00:00:00"/>
    <n v="0"/>
    <n v="0"/>
    <x v="1"/>
    <n v="0"/>
    <n v="0"/>
    <s v="ملغي"/>
    <m/>
    <m/>
    <x v="1"/>
  </r>
  <r>
    <s v="ساندرا"/>
    <x v="0"/>
    <x v="3"/>
    <x v="0"/>
    <x v="1"/>
    <s v="غير معروف"/>
    <m/>
    <m/>
    <m/>
    <m/>
    <s v="ترابيزه قهوه متحركه "/>
    <n v="8642"/>
    <x v="0"/>
    <d v="2024-08-25T00:00:00"/>
    <n v="13"/>
    <n v="2"/>
    <x v="2"/>
    <n v="13"/>
    <n v="2"/>
    <s v="تأخر في التسليم"/>
    <d v="2024-09-07T00:00:00"/>
    <d v="2024-08-27T00:00:00"/>
    <x v="0"/>
  </r>
  <r>
    <s v="زينا"/>
    <x v="0"/>
    <x v="2"/>
    <x v="0"/>
    <x v="0"/>
    <s v="دورين"/>
    <s v="نوفال"/>
    <n v="100"/>
    <s v="رمادى"/>
    <m/>
    <s v="سرير نوفال متر رمادى "/>
    <n v="12833"/>
    <x v="1"/>
    <d v="2024-08-16T00:00:00"/>
    <n v="15"/>
    <n v="0"/>
    <x v="1"/>
    <n v="15"/>
    <n v="0"/>
    <s v="ملغي"/>
    <d v="2024-08-31T00:00:00"/>
    <m/>
    <x v="1"/>
  </r>
  <r>
    <s v="شيك هومز"/>
    <x v="1"/>
    <x v="4"/>
    <x v="1"/>
    <x v="2"/>
    <s v="4*1"/>
    <m/>
    <m/>
    <m/>
    <m/>
    <s v="كنبه سرير رمادى "/>
    <n v="14550"/>
    <x v="0"/>
    <d v="2024-08-14T00:00:00"/>
    <n v="20"/>
    <n v="22"/>
    <x v="0"/>
    <n v="20"/>
    <n v="22"/>
    <s v="تم في الموعد"/>
    <d v="2024-09-03T00:00:00"/>
    <d v="2024-09-05T00:00:00"/>
    <x v="0"/>
  </r>
  <r>
    <s v="احمد"/>
    <x v="0"/>
    <x v="5"/>
    <x v="2"/>
    <x v="2"/>
    <s v="4*1"/>
    <m/>
    <m/>
    <m/>
    <m/>
    <s v="كنبه سرير رمادى "/>
    <n v="12000"/>
    <x v="1"/>
    <d v="2024-08-17T00:00:00"/>
    <n v="3"/>
    <n v="2"/>
    <x v="2"/>
    <n v="3"/>
    <n v="2"/>
    <s v="تأخر في التسليم"/>
    <d v="2024-08-20T00:00:00"/>
    <d v="2024-08-19T00:00:00"/>
    <x v="0"/>
  </r>
  <r>
    <s v="yilmaz"/>
    <x v="0"/>
    <x v="0"/>
    <x v="0"/>
    <x v="0"/>
    <s v="فردى"/>
    <m/>
    <m/>
    <m/>
    <m/>
    <s v="سرير فردى ابيض "/>
    <n v="7228"/>
    <x v="0"/>
    <d v="2024-08-25T00:00:00"/>
    <n v="9"/>
    <n v="16"/>
    <x v="0"/>
    <n v="9"/>
    <n v="16"/>
    <s v="تم في الموعد"/>
    <d v="2024-09-03T00:00:00"/>
    <d v="2024-09-10T00:00:00"/>
    <x v="0"/>
  </r>
  <r>
    <s v="تاكى"/>
    <x v="1"/>
    <x v="6"/>
    <x v="3"/>
    <x v="3"/>
    <s v="ركنة بسرير"/>
    <m/>
    <m/>
    <m/>
    <m/>
    <s v="ركنه "/>
    <n v="22000"/>
    <x v="1"/>
    <d v="2024-08-19T00:00:00"/>
    <n v="13"/>
    <n v="29"/>
    <x v="0"/>
    <n v="13"/>
    <n v="29"/>
    <s v="تم في الموعد"/>
    <d v="2024-09-01T00:00:00"/>
    <d v="2024-09-17T00:00:00"/>
    <x v="0"/>
  </r>
  <r>
    <s v="تاكى"/>
    <x v="1"/>
    <x v="6"/>
    <x v="3"/>
    <x v="2"/>
    <s v="سحارة"/>
    <m/>
    <m/>
    <m/>
    <m/>
    <s v="٢ كنبه سحاره بمخدع"/>
    <n v="16000"/>
    <x v="1"/>
    <m/>
    <n v="0"/>
    <n v="0"/>
    <x v="1"/>
    <n v="0"/>
    <n v="0"/>
    <s v="ملغي"/>
    <m/>
    <m/>
    <x v="1"/>
  </r>
  <r>
    <s v="تاكى"/>
    <x v="1"/>
    <x v="6"/>
    <x v="3"/>
    <x v="2"/>
    <s v="سحارة"/>
    <m/>
    <m/>
    <m/>
    <m/>
    <s v="٢ كنبه سحاره بدون مخدع "/>
    <n v="6000"/>
    <x v="1"/>
    <d v="2024-08-25T00:00:00"/>
    <n v="21"/>
    <n v="23"/>
    <x v="0"/>
    <n v="21"/>
    <n v="23"/>
    <s v="تم في الموعد"/>
    <d v="2024-09-15T00:00:00"/>
    <d v="2024-09-17T00:00:00"/>
    <x v="0"/>
  </r>
  <r>
    <s v="تاكى"/>
    <x v="1"/>
    <x v="6"/>
    <x v="3"/>
    <x v="2"/>
    <s v="سحارة"/>
    <m/>
    <m/>
    <m/>
    <m/>
    <s v="٢ كنبه سحاره بدون مخدع "/>
    <n v="6000"/>
    <x v="1"/>
    <d v="2024-08-25T00:00:00"/>
    <n v="21"/>
    <n v="23"/>
    <x v="0"/>
    <n v="21"/>
    <n v="23"/>
    <s v="تم في الموعد"/>
    <d v="2024-09-15T00:00:00"/>
    <d v="2024-09-17T00:00:00"/>
    <x v="0"/>
  </r>
  <r>
    <s v="على رشوان"/>
    <x v="0"/>
    <x v="7"/>
    <x v="0"/>
    <x v="0"/>
    <s v="دورين"/>
    <s v="نوفال"/>
    <n v="80"/>
    <s v="ابيض"/>
    <m/>
    <s v="سرير نوفال ابيض مقاس ٨٠"/>
    <n v="10499"/>
    <x v="1"/>
    <d v="2024-09-01T00:00:00"/>
    <n v="15"/>
    <n v="7"/>
    <x v="2"/>
    <n v="15"/>
    <n v="7"/>
    <s v="تأخر في التسليم"/>
    <d v="2024-09-16T00:00:00"/>
    <d v="2024-09-08T00:00:00"/>
    <x v="0"/>
  </r>
  <r>
    <s v="احمد فخرى"/>
    <x v="0"/>
    <x v="0"/>
    <x v="0"/>
    <x v="0"/>
    <s v="فردى"/>
    <s v="نوفال"/>
    <n v="80"/>
    <s v="ابيض"/>
    <m/>
    <s v="سرير فردى خشب موسكى الحديد ابيض مقاس ٨٠"/>
    <n v="7295"/>
    <x v="1"/>
    <d v="2024-09-05T00:00:00"/>
    <n v="9"/>
    <n v="0"/>
    <x v="1"/>
    <n v="9"/>
    <n v="0"/>
    <s v="ملغي"/>
    <d v="2024-09-14T00:00:00"/>
    <m/>
    <x v="1"/>
  </r>
  <r>
    <s v="لينا"/>
    <x v="0"/>
    <x v="8"/>
    <x v="0"/>
    <x v="1"/>
    <s v="2 ميكانزم"/>
    <m/>
    <m/>
    <m/>
    <m/>
    <s v="ترابيزه قهوه علويه جديده "/>
    <n v="7849"/>
    <x v="0"/>
    <d v="2024-09-04T00:00:00"/>
    <n v="12"/>
    <n v="21"/>
    <x v="0"/>
    <n v="12"/>
    <n v="21"/>
    <s v="تم في الموعد"/>
    <d v="2024-09-16T00:00:00"/>
    <d v="2024-09-25T00:00:00"/>
    <x v="1"/>
  </r>
  <r>
    <s v="فيصل نعيم"/>
    <x v="0"/>
    <x v="5"/>
    <x v="4"/>
    <x v="0"/>
    <s v="دورين"/>
    <s v="كيفنج"/>
    <n v="120"/>
    <s v="اسود"/>
    <m/>
    <s v="٢ سرير كيفنج ١٢٠ اسود "/>
    <n v="6180"/>
    <x v="1"/>
    <d v="2024-09-03T00:00:00"/>
    <n v="13"/>
    <n v="12"/>
    <x v="2"/>
    <n v="13"/>
    <n v="12"/>
    <s v="تأخر في التسليم"/>
    <d v="2024-09-16T00:00:00"/>
    <d v="2024-09-15T00:00:00"/>
    <x v="0"/>
  </r>
  <r>
    <s v="فيصل نعيم"/>
    <x v="0"/>
    <x v="5"/>
    <x v="4"/>
    <x v="0"/>
    <s v="دورين"/>
    <s v="كيفنج"/>
    <n v="120"/>
    <s v="اسود"/>
    <m/>
    <s v="٢ سرير كيفنج ١٢٠ اسود "/>
    <n v="6180"/>
    <x v="1"/>
    <d v="2024-09-03T00:00:00"/>
    <n v="13"/>
    <n v="12"/>
    <x v="2"/>
    <n v="13"/>
    <n v="12"/>
    <s v="تأخر في التسليم"/>
    <d v="2024-09-16T00:00:00"/>
    <d v="2024-09-15T00:00:00"/>
    <x v="0"/>
  </r>
  <r>
    <s v="ellho elkafy"/>
    <x v="0"/>
    <x v="7"/>
    <x v="0"/>
    <x v="0"/>
    <s v="دورين"/>
    <s v="كينج"/>
    <n v="80"/>
    <s v="ابيض"/>
    <m/>
    <s v="سرير كينج ابيض مقاس ٨٠ التصميم الجديد "/>
    <n v="11199"/>
    <x v="1"/>
    <d v="2024-09-04T00:00:00"/>
    <n v="14"/>
    <n v="0"/>
    <x v="1"/>
    <n v="14"/>
    <n v="0"/>
    <s v="ملغي"/>
    <d v="2024-09-18T00:00:00"/>
    <m/>
    <x v="1"/>
  </r>
  <r>
    <s v="احمد"/>
    <x v="0"/>
    <x v="9"/>
    <x v="0"/>
    <x v="0"/>
    <s v="فردى"/>
    <s v="فورجينا"/>
    <n v="80"/>
    <s v="ابيض"/>
    <m/>
    <s v="٤سرير فردى خشب موسكى الحديد ابيض مقاس ٨٠"/>
    <n v="7987"/>
    <x v="0"/>
    <d v="2024-09-06T00:00:00"/>
    <n v="10"/>
    <n v="15"/>
    <x v="0"/>
    <n v="10"/>
    <n v="15"/>
    <s v="تم في الموعد"/>
    <d v="2024-09-16T00:00:00"/>
    <d v="2024-09-21T00:00:00"/>
    <x v="0"/>
  </r>
  <r>
    <s v="تاكى"/>
    <x v="1"/>
    <x v="6"/>
    <x v="3"/>
    <x v="4"/>
    <s v="فنسيا"/>
    <m/>
    <m/>
    <m/>
    <m/>
    <s v="٢ فوتيه فنيسيا "/>
    <n v="9300"/>
    <x v="1"/>
    <d v="2024-09-04T00:00:00"/>
    <n v="11"/>
    <n v="13"/>
    <x v="0"/>
    <n v="11"/>
    <n v="13"/>
    <s v="تم في الموعد"/>
    <d v="2024-09-15T00:00:00"/>
    <d v="2024-09-17T00:00:00"/>
    <x v="0"/>
  </r>
  <r>
    <s v="احمد"/>
    <x v="0"/>
    <x v="9"/>
    <x v="0"/>
    <x v="0"/>
    <s v="فردى"/>
    <s v="فورجينا"/>
    <n v="80"/>
    <s v="ابيض"/>
    <m/>
    <s v="٤سرير فردى خشب موسكى الحديد ابيض مقاس ٨٠"/>
    <n v="7987"/>
    <x v="0"/>
    <d v="2024-09-06T00:00:00"/>
    <n v="10"/>
    <n v="15"/>
    <x v="0"/>
    <n v="10"/>
    <n v="15"/>
    <s v="تم في الموعد"/>
    <d v="2024-09-16T00:00:00"/>
    <d v="2024-09-21T00:00:00"/>
    <x v="0"/>
  </r>
  <r>
    <s v="احمد"/>
    <x v="0"/>
    <x v="9"/>
    <x v="0"/>
    <x v="0"/>
    <s v="فردى"/>
    <s v="فورجينا"/>
    <n v="80"/>
    <s v="ابيض"/>
    <m/>
    <s v="٤سرير فردى خشب موسكى الحديد ابيض مقاس ٨٠"/>
    <n v="7987"/>
    <x v="0"/>
    <d v="2024-09-06T00:00:00"/>
    <n v="10"/>
    <n v="15"/>
    <x v="0"/>
    <n v="10"/>
    <n v="15"/>
    <s v="تم في الموعد"/>
    <d v="2024-09-16T00:00:00"/>
    <d v="2024-09-21T00:00:00"/>
    <x v="0"/>
  </r>
  <r>
    <s v="احمد"/>
    <x v="0"/>
    <x v="9"/>
    <x v="0"/>
    <x v="0"/>
    <s v="فردى"/>
    <s v="فورجينا"/>
    <n v="80"/>
    <s v="ابيض"/>
    <m/>
    <s v="٤سرير فردى خشب موسكى الحديد ابيض مقاس ٨٠"/>
    <n v="7987"/>
    <x v="0"/>
    <d v="2024-09-06T00:00:00"/>
    <n v="10"/>
    <n v="15"/>
    <x v="0"/>
    <n v="10"/>
    <n v="15"/>
    <s v="تم في الموعد"/>
    <d v="2024-09-16T00:00:00"/>
    <d v="2024-09-21T00:00:00"/>
    <x v="0"/>
  </r>
  <r>
    <s v="صفاء"/>
    <x v="0"/>
    <x v="10"/>
    <x v="0"/>
    <x v="1"/>
    <s v="2 ميكانزم"/>
    <m/>
    <m/>
    <m/>
    <m/>
    <s v="ترابيزه قهوه علويه جديده "/>
    <n v="8849"/>
    <x v="0"/>
    <d v="2024-09-03T00:00:00"/>
    <n v="43"/>
    <n v="0"/>
    <x v="1"/>
    <n v="43"/>
    <n v="0"/>
    <s v="ملغي"/>
    <d v="2024-10-16T00:00:00"/>
    <m/>
    <x v="1"/>
  </r>
  <r>
    <s v="حسن حازم"/>
    <x v="0"/>
    <x v="0"/>
    <x v="0"/>
    <x v="0"/>
    <s v="فردى"/>
    <s v="اسبانى"/>
    <n v="120"/>
    <s v="ابيض"/>
    <m/>
    <s v="سرير اسبانى ابيض ١٢٠"/>
    <n v="10987"/>
    <x v="0"/>
    <d v="2024-09-09T00:00:00"/>
    <n v="8"/>
    <n v="12"/>
    <x v="0"/>
    <n v="8"/>
    <n v="12"/>
    <s v="تم في الموعد"/>
    <d v="2024-09-17T00:00:00"/>
    <d v="2024-09-21T00:00:00"/>
    <x v="0"/>
  </r>
  <r>
    <s v="شيك هومز"/>
    <x v="1"/>
    <x v="4"/>
    <x v="1"/>
    <x v="0"/>
    <s v="دورين"/>
    <s v="كينج"/>
    <n v="100"/>
    <s v="ابيض"/>
    <m/>
    <s v="سرير كينج ابيض "/>
    <n v="9208"/>
    <x v="1"/>
    <d v="2024-09-01T00:00:00"/>
    <n v="18"/>
    <n v="20"/>
    <x v="0"/>
    <n v="18"/>
    <n v="20"/>
    <s v="تم في الموعد"/>
    <d v="2024-09-19T00:00:00"/>
    <d v="2024-09-21T00:00:00"/>
    <x v="0"/>
  </r>
  <r>
    <s v="شيك هومز"/>
    <x v="1"/>
    <x v="4"/>
    <x v="1"/>
    <x v="0"/>
    <s v="دورين"/>
    <s v="كينج"/>
    <n v="100"/>
    <s v="اسود"/>
    <m/>
    <s v="سرير كينج اسود "/>
    <n v="9208"/>
    <x v="1"/>
    <d v="2024-09-01T00:00:00"/>
    <n v="18"/>
    <n v="20"/>
    <x v="0"/>
    <n v="18"/>
    <n v="20"/>
    <s v="تم في الموعد"/>
    <d v="2024-09-19T00:00:00"/>
    <d v="2024-09-21T00:00:00"/>
    <x v="0"/>
  </r>
  <r>
    <s v="اوسكار راتن"/>
    <x v="1"/>
    <x v="11"/>
    <x v="4"/>
    <x v="0"/>
    <s v="فردى"/>
    <s v="فورجينا"/>
    <n v="120"/>
    <s v="ابيض"/>
    <m/>
    <s v="٢ سريرفورجينا خشب موسكى ابيض مقاس ١٢٠"/>
    <n v="4020"/>
    <x v="2"/>
    <d v="2024-09-12T00:00:00"/>
    <n v="9"/>
    <n v="10"/>
    <x v="0"/>
    <n v="9"/>
    <n v="10"/>
    <s v="تم في الموعد"/>
    <d v="2024-09-21T00:00:00"/>
    <d v="2024-09-22T00:00:00"/>
    <x v="0"/>
  </r>
  <r>
    <s v="اوسكار راتن"/>
    <x v="1"/>
    <x v="11"/>
    <x v="4"/>
    <x v="0"/>
    <s v="فردى"/>
    <s v="فورجينا"/>
    <n v="120"/>
    <s v="ابيض"/>
    <m/>
    <s v="٢ سريرفورجينا خشب موسكى ابيض مقاس ١٢٠"/>
    <n v="4020"/>
    <x v="2"/>
    <d v="2024-09-12T00:00:00"/>
    <n v="9"/>
    <n v="10"/>
    <x v="0"/>
    <n v="9"/>
    <n v="10"/>
    <s v="تم في الموعد"/>
    <d v="2024-09-21T00:00:00"/>
    <d v="2024-09-22T00:00:00"/>
    <x v="0"/>
  </r>
  <r>
    <s v="اوسكار راتن"/>
    <x v="1"/>
    <x v="11"/>
    <x v="4"/>
    <x v="0"/>
    <s v="فردى"/>
    <s v="ارفيل"/>
    <n v="120"/>
    <s v="اسود"/>
    <m/>
    <s v="٢ سرير ارفيل ١٢٠ اسود "/>
    <n v="4020"/>
    <x v="0"/>
    <d v="2024-09-12T00:00:00"/>
    <n v="9"/>
    <n v="10"/>
    <x v="0"/>
    <n v="9"/>
    <n v="10"/>
    <s v="تم في الموعد"/>
    <d v="2024-09-21T00:00:00"/>
    <d v="2024-09-22T00:00:00"/>
    <x v="0"/>
  </r>
  <r>
    <s v="اوسكار راتن"/>
    <x v="1"/>
    <x v="11"/>
    <x v="4"/>
    <x v="0"/>
    <s v="فردى"/>
    <s v="ارفيل"/>
    <n v="120"/>
    <s v="اسود"/>
    <m/>
    <s v="٢ سرير ارفيل ١٢٠ اسود "/>
    <n v="4020"/>
    <x v="0"/>
    <d v="2024-09-12T00:00:00"/>
    <n v="9"/>
    <n v="10"/>
    <x v="0"/>
    <n v="9"/>
    <n v="10"/>
    <s v="تم في الموعد"/>
    <d v="2024-09-21T00:00:00"/>
    <d v="2024-09-22T00:00:00"/>
    <x v="0"/>
  </r>
  <r>
    <s v="صفاء الحكيم"/>
    <x v="0"/>
    <x v="12"/>
    <x v="0"/>
    <x v="0"/>
    <s v="منطبق"/>
    <m/>
    <m/>
    <s v="اسود"/>
    <s v="اسود"/>
    <s v="سرير منطببق اسود وقماش اسود"/>
    <n v="9399"/>
    <x v="0"/>
    <d v="2024-09-14T00:00:00"/>
    <n v="8"/>
    <n v="0"/>
    <x v="1"/>
    <n v="8"/>
    <n v="0"/>
    <s v="ملغي"/>
    <d v="2024-09-22T00:00:00"/>
    <m/>
    <x v="1"/>
  </r>
  <r>
    <s v="يوسف شناوى"/>
    <x v="0"/>
    <x v="1"/>
    <x v="0"/>
    <x v="1"/>
    <s v="رف سحاب"/>
    <m/>
    <m/>
    <m/>
    <m/>
    <s v="ترابيزه قهوه علويه برف سحاب "/>
    <n v="8349"/>
    <x v="0"/>
    <d v="2024-09-14T00:00:00"/>
    <n v="8"/>
    <n v="10"/>
    <x v="0"/>
    <n v="8"/>
    <n v="10"/>
    <s v="تم في الموعد"/>
    <d v="2024-09-22T00:00:00"/>
    <d v="2024-09-24T00:00:00"/>
    <x v="0"/>
  </r>
  <r>
    <s v="حاتم العيسوي"/>
    <x v="0"/>
    <x v="0"/>
    <x v="0"/>
    <x v="0"/>
    <s v="منطبق"/>
    <m/>
    <m/>
    <s v="اسود"/>
    <s v="اسود"/>
    <s v="سرير منطبق اسود حديد وقماش"/>
    <n v="9399"/>
    <x v="0"/>
    <d v="2024-09-13T00:00:00"/>
    <n v="11"/>
    <n v="17"/>
    <x v="0"/>
    <n v="11"/>
    <n v="17"/>
    <s v="تم في الموعد"/>
    <d v="2024-09-24T00:00:00"/>
    <d v="2024-09-30T00:00:00"/>
    <x v="0"/>
  </r>
  <r>
    <s v="رنا"/>
    <x v="0"/>
    <x v="13"/>
    <x v="0"/>
    <x v="1"/>
    <s v="2 ميكانزم"/>
    <m/>
    <m/>
    <m/>
    <m/>
    <s v="ترابيزه قهوه علويه جديده "/>
    <n v="7849"/>
    <x v="1"/>
    <d v="2024-09-12T00:00:00"/>
    <n v="14"/>
    <n v="0"/>
    <x v="1"/>
    <n v="14"/>
    <n v="0"/>
    <s v="ملغي"/>
    <d v="2024-09-26T00:00:00"/>
    <m/>
    <x v="0"/>
  </r>
  <r>
    <s v="عبير نور الدين"/>
    <x v="0"/>
    <x v="0"/>
    <x v="2"/>
    <x v="0"/>
    <s v="ثلاثه ادوار"/>
    <s v="كيفنج"/>
    <n v="100"/>
    <s v="اسود"/>
    <m/>
    <s v="سرير ٣ ادورا اسود مقاس ١٠٠ "/>
    <n v="9450"/>
    <x v="1"/>
    <d v="2024-09-12T00:00:00"/>
    <n v="14"/>
    <n v="0"/>
    <x v="1"/>
    <n v="14"/>
    <n v="0"/>
    <s v="ملغي"/>
    <d v="2024-09-26T00:00:00"/>
    <m/>
    <x v="1"/>
  </r>
  <r>
    <s v="اسراء ابو العنين"/>
    <x v="0"/>
    <x v="9"/>
    <x v="0"/>
    <x v="0"/>
    <s v="فردى"/>
    <s v="اسبانى"/>
    <n v="120"/>
    <s v="اسود"/>
    <m/>
    <s v="سرير اسبانى اسود مقاس ١٢٠"/>
    <n v="7460"/>
    <x v="0"/>
    <d v="2024-09-13T00:00:00"/>
    <n v="13"/>
    <n v="20"/>
    <x v="0"/>
    <n v="13"/>
    <n v="20"/>
    <s v="تم في الموعد"/>
    <d v="2024-09-26T00:00:00"/>
    <d v="2024-10-03T00:00:00"/>
    <x v="0"/>
  </r>
  <r>
    <s v="وائل صادق"/>
    <x v="0"/>
    <x v="9"/>
    <x v="0"/>
    <x v="0"/>
    <s v="فردى"/>
    <s v="كورين"/>
    <n v="140"/>
    <s v="دهبي"/>
    <s v="رمادى"/>
    <s v="سرير كوين مقاس ١٤٠ دهبي ورمادى "/>
    <n v="9528"/>
    <x v="0"/>
    <d v="2024-09-13T00:00:00"/>
    <n v="13"/>
    <n v="20"/>
    <x v="0"/>
    <n v="13"/>
    <n v="20"/>
    <s v="تم في الموعد"/>
    <d v="2024-09-26T00:00:00"/>
    <d v="2024-10-03T00:00:00"/>
    <x v="0"/>
  </r>
  <r>
    <s v="حسن مغرب"/>
    <x v="0"/>
    <x v="0"/>
    <x v="0"/>
    <x v="0"/>
    <s v="دورين"/>
    <s v="كيفنج"/>
    <n v="120"/>
    <s v="رمادى"/>
    <m/>
    <s v="سرير كيفنج ١٢٠ رمادى "/>
    <n v="12999"/>
    <x v="0"/>
    <d v="2024-09-14T00:00:00"/>
    <n v="13"/>
    <n v="18"/>
    <x v="0"/>
    <n v="13"/>
    <n v="18"/>
    <s v="تم في الموعد"/>
    <d v="2024-09-27T00:00:00"/>
    <d v="2024-10-02T00:00:00"/>
    <x v="0"/>
  </r>
  <r>
    <s v="على السيد"/>
    <x v="0"/>
    <x v="14"/>
    <x v="0"/>
    <x v="0"/>
    <s v="دورين"/>
    <s v="نوفال"/>
    <n v="90"/>
    <s v="اسود"/>
    <m/>
    <s v="سرير نوفال  ٩٠ اسود "/>
    <n v="5999"/>
    <x v="0"/>
    <d v="2024-09-12T00:00:00"/>
    <n v="17"/>
    <n v="0"/>
    <x v="1"/>
    <n v="17"/>
    <n v="0"/>
    <s v="ملغي"/>
    <d v="2024-09-29T00:00:00"/>
    <m/>
    <x v="1"/>
  </r>
  <r>
    <s v="هشام بسيونى"/>
    <x v="0"/>
    <x v="15"/>
    <x v="0"/>
    <x v="0"/>
    <s v="دورين"/>
    <s v="كيفنج"/>
    <n v="100"/>
    <s v="اسود"/>
    <m/>
    <s v="            ٢ سرير كيفنج ١٠٠ اسود "/>
    <n v="11949"/>
    <x v="1"/>
    <d v="2024-09-12T00:00:00"/>
    <n v="17"/>
    <n v="20"/>
    <x v="0"/>
    <n v="17"/>
    <n v="20"/>
    <s v="تم في الموعد"/>
    <d v="2024-09-29T00:00:00"/>
    <d v="2024-10-02T00:00:00"/>
    <x v="0"/>
  </r>
  <r>
    <s v="هشام بسيونى"/>
    <x v="0"/>
    <x v="15"/>
    <x v="0"/>
    <x v="0"/>
    <s v="دورين"/>
    <s v="كيفنج"/>
    <n v="100"/>
    <s v="اسود"/>
    <m/>
    <s v="            ٢ سرير كيفنج ١٠٠ اسود "/>
    <n v="11949"/>
    <x v="1"/>
    <d v="2024-09-12T00:00:00"/>
    <n v="17"/>
    <n v="20"/>
    <x v="0"/>
    <n v="17"/>
    <n v="20"/>
    <s v="تم في الموعد"/>
    <d v="2024-09-29T00:00:00"/>
    <d v="2024-10-02T00:00:00"/>
    <x v="0"/>
  </r>
  <r>
    <s v="احمد"/>
    <x v="0"/>
    <x v="14"/>
    <x v="0"/>
    <x v="0"/>
    <s v="ثلاثه ادوار"/>
    <s v="كيفنج"/>
    <n v="80"/>
    <s v="ابيض"/>
    <m/>
    <s v="سرير ٣ ادوار ابيض مقاس ٨٠ ابيض "/>
    <n v="16599"/>
    <x v="0"/>
    <d v="2024-09-13T00:00:00"/>
    <n v="17"/>
    <n v="20"/>
    <x v="0"/>
    <n v="17"/>
    <n v="20"/>
    <s v="تم في الموعد"/>
    <d v="2024-09-30T00:00:00"/>
    <d v="2024-10-03T00:00:00"/>
    <x v="0"/>
  </r>
  <r>
    <s v="ساره وجيه"/>
    <x v="0"/>
    <x v="3"/>
    <x v="0"/>
    <x v="0"/>
    <s v="دورين"/>
    <s v="كيفنج"/>
    <n v="80"/>
    <s v="ابيض"/>
    <m/>
    <s v="سرير كيفنج دورين مقاس ٨٠ ابيض "/>
    <n v="10999"/>
    <x v="0"/>
    <d v="2024-09-13T00:00:00"/>
    <n v="17"/>
    <n v="33"/>
    <x v="0"/>
    <n v="17"/>
    <n v="33"/>
    <s v="تم في الموعد"/>
    <d v="2024-09-30T00:00:00"/>
    <d v="2024-10-16T00:00:00"/>
    <x v="0"/>
  </r>
  <r>
    <s v="مها"/>
    <x v="0"/>
    <x v="16"/>
    <x v="0"/>
    <x v="0"/>
    <s v="دورين"/>
    <s v="كيفنج"/>
    <n v="140"/>
    <s v="ازرق"/>
    <m/>
    <s v="سرير استيل ازرق مقاس ١٤٠"/>
    <n v="13099"/>
    <x v="0"/>
    <d v="2024-09-13T00:00:00"/>
    <n v="17"/>
    <n v="20"/>
    <x v="0"/>
    <n v="17"/>
    <n v="20"/>
    <s v="تم في الموعد"/>
    <d v="2024-09-30T00:00:00"/>
    <d v="2024-10-03T00:00:00"/>
    <x v="0"/>
  </r>
  <r>
    <s v="بسام الشربينى"/>
    <x v="0"/>
    <x v="0"/>
    <x v="0"/>
    <x v="0"/>
    <s v="دورين"/>
    <s v="كينج"/>
    <n v="120"/>
    <s v="بنفسجى"/>
    <m/>
    <s v="سرير كينج ١٢٠ بنفسجى "/>
    <n v="13849"/>
    <x v="0"/>
    <d v="2024-09-13T00:00:00"/>
    <n v="17"/>
    <n v="37"/>
    <x v="0"/>
    <n v="17"/>
    <n v="37"/>
    <s v="تم في الموعد"/>
    <d v="2024-09-30T00:00:00"/>
    <d v="2024-10-20T00:00:00"/>
    <x v="0"/>
  </r>
  <r>
    <s v="هبه عبد الفتاح"/>
    <x v="0"/>
    <x v="9"/>
    <x v="0"/>
    <x v="2"/>
    <s v="4*1"/>
    <m/>
    <m/>
    <s v="اسود"/>
    <s v="رمادى"/>
    <s v="كنبه سرير ٤ حركه "/>
    <n v="21999"/>
    <x v="0"/>
    <d v="2024-09-13T00:00:00"/>
    <n v="17"/>
    <n v="0"/>
    <x v="1"/>
    <n v="17"/>
    <n v="0"/>
    <s v="ملغي"/>
    <d v="2024-09-30T00:00:00"/>
    <m/>
    <x v="0"/>
  </r>
  <r>
    <s v="اسراء ابراهيم"/>
    <x v="0"/>
    <x v="0"/>
    <x v="0"/>
    <x v="0"/>
    <s v="دورين"/>
    <s v="كيفنج"/>
    <n v="80"/>
    <s v="ابيض"/>
    <m/>
    <s v="سرير كيفنج دورين مقاس ٨٠ ابيض "/>
    <n v="10999"/>
    <x v="0"/>
    <d v="2024-09-13T00:00:00"/>
    <n v="17"/>
    <n v="32"/>
    <x v="0"/>
    <n v="17"/>
    <n v="32"/>
    <s v="تم في الموعد"/>
    <d v="2024-09-30T00:00:00"/>
    <d v="2024-10-15T00:00:00"/>
    <x v="0"/>
  </r>
  <r>
    <s v="طارق كمال"/>
    <x v="0"/>
    <x v="10"/>
    <x v="0"/>
    <x v="0"/>
    <s v="ثلاثه ادوار"/>
    <s v="كيفنج"/>
    <n v="90"/>
    <s v="اسود"/>
    <m/>
    <s v="سرير ٣ ادوار اسود مقاس ٩٠ "/>
    <n v="17249"/>
    <x v="0"/>
    <d v="2024-09-13T00:00:00"/>
    <n v="17"/>
    <n v="21"/>
    <x v="0"/>
    <n v="17"/>
    <n v="21"/>
    <s v="تم في الموعد"/>
    <d v="2024-09-30T00:00:00"/>
    <d v="2024-10-04T00:00:00"/>
    <x v="0"/>
  </r>
  <r>
    <s v="ديفد بهجت"/>
    <x v="0"/>
    <x v="0"/>
    <x v="0"/>
    <x v="1"/>
    <s v="2 ميكانزم"/>
    <m/>
    <m/>
    <m/>
    <m/>
    <s v="تربيزه قهوه ٢ رافع"/>
    <n v="8349"/>
    <x v="0"/>
    <d v="2024-09-14T00:00:00"/>
    <n v="32"/>
    <n v="37"/>
    <x v="0"/>
    <n v="32"/>
    <n v="37"/>
    <s v="تم في الموعد"/>
    <d v="2024-10-16T00:00:00"/>
    <d v="2024-10-21T00:00:00"/>
    <x v="0"/>
  </r>
  <r>
    <s v="اياد"/>
    <x v="0"/>
    <x v="8"/>
    <x v="0"/>
    <x v="1"/>
    <s v="بمكتبة"/>
    <m/>
    <m/>
    <m/>
    <m/>
    <s v="ترابيزه قهوه متحركه "/>
    <n v="7849"/>
    <x v="0"/>
    <d v="2024-09-14T00:00:00"/>
    <n v="45"/>
    <n v="46"/>
    <x v="0"/>
    <n v="45"/>
    <n v="46"/>
    <s v="تم في الموعد"/>
    <d v="2024-10-29T00:00:00"/>
    <d v="2024-10-30T00:00:00"/>
    <x v="0"/>
  </r>
  <r>
    <s v="ميار خورشد"/>
    <x v="0"/>
    <x v="0"/>
    <x v="0"/>
    <x v="0"/>
    <s v="منطبق"/>
    <m/>
    <m/>
    <s v="اسود"/>
    <s v="اسود"/>
    <s v="سرير منطبق اسود حديد ومعدن "/>
    <n v="9399"/>
    <x v="0"/>
    <d v="2024-09-14T00:00:00"/>
    <n v="45"/>
    <n v="31"/>
    <x v="2"/>
    <n v="45"/>
    <n v="31"/>
    <s v="تأخر في التسليم"/>
    <d v="2024-10-29T00:00:00"/>
    <d v="2024-10-15T00:00:00"/>
    <x v="0"/>
  </r>
  <r>
    <s v="عبد الله سيد"/>
    <x v="0"/>
    <x v="0"/>
    <x v="0"/>
    <x v="0"/>
    <s v="فردى"/>
    <s v="اسبانى"/>
    <n v="140"/>
    <s v="اسود"/>
    <m/>
    <s v="سرير اسبانى  ١٤٠ اسود وبيج "/>
    <n v="11817"/>
    <x v="0"/>
    <d v="2024-09-14T00:00:00"/>
    <n v="45"/>
    <n v="31"/>
    <x v="2"/>
    <n v="45"/>
    <n v="31"/>
    <s v="تأخر في التسليم"/>
    <d v="2024-10-29T00:00:00"/>
    <d v="2024-10-15T00:00:00"/>
    <x v="0"/>
  </r>
  <r>
    <s v="كينج سونا"/>
    <x v="0"/>
    <x v="14"/>
    <x v="0"/>
    <x v="1"/>
    <s v="رف سحاب"/>
    <m/>
    <m/>
    <m/>
    <m/>
    <s v="تربيزه قهوه مرتفعه برف سحاب "/>
    <n v="8349"/>
    <x v="0"/>
    <d v="2024-09-14T00:00:00"/>
    <n v="45"/>
    <n v="35"/>
    <x v="2"/>
    <n v="45"/>
    <n v="35"/>
    <s v="تأخر في التسليم"/>
    <d v="2024-10-29T00:00:00"/>
    <d v="2024-10-19T00:00:00"/>
    <x v="0"/>
  </r>
  <r>
    <s v="احمد خالد"/>
    <x v="0"/>
    <x v="17"/>
    <x v="0"/>
    <x v="0"/>
    <s v="فردى"/>
    <s v="فورجينا"/>
    <n v="120"/>
    <s v="ابيض"/>
    <m/>
    <s v=" ٢. سرير فورجينا ابيض مقاس ١٢٠"/>
    <n v="17886"/>
    <x v="0"/>
    <d v="2024-09-14T00:00:00"/>
    <n v="45"/>
    <n v="0"/>
    <x v="1"/>
    <n v="45"/>
    <n v="0"/>
    <s v="ملغي"/>
    <d v="2024-10-29T00:00:00"/>
    <m/>
    <x v="1"/>
  </r>
  <r>
    <s v="احمد خالد"/>
    <x v="0"/>
    <x v="17"/>
    <x v="0"/>
    <x v="0"/>
    <s v="فردى"/>
    <s v="فورجينا"/>
    <n v="120"/>
    <s v="ابيض"/>
    <m/>
    <s v=" ٢. سرير فورجينا ابيض مقاس ١٢٠"/>
    <n v="17886"/>
    <x v="0"/>
    <d v="2024-09-14T00:00:00"/>
    <n v="45"/>
    <n v="0"/>
    <x v="1"/>
    <n v="45"/>
    <n v="0"/>
    <s v="ملغي"/>
    <d v="2024-10-29T00:00:00"/>
    <m/>
    <x v="1"/>
  </r>
  <r>
    <s v="ساره"/>
    <x v="0"/>
    <x v="9"/>
    <x v="0"/>
    <x v="0"/>
    <s v="فردى"/>
    <s v="اسبانى"/>
    <n v="120"/>
    <s v="ابيض"/>
    <m/>
    <s v="   ٢. سرير اسبانى ابيض ١٢٠"/>
    <n v="10987"/>
    <x v="0"/>
    <d v="2024-09-14T00:00:00"/>
    <n v="45"/>
    <n v="29"/>
    <x v="2"/>
    <n v="45"/>
    <n v="29"/>
    <s v="تأخر في التسليم"/>
    <d v="2024-10-29T00:00:00"/>
    <d v="2024-10-13T00:00:00"/>
    <x v="0"/>
  </r>
  <r>
    <s v="ساره"/>
    <x v="0"/>
    <x v="9"/>
    <x v="0"/>
    <x v="0"/>
    <s v="فردى"/>
    <s v="اسبانى"/>
    <n v="120"/>
    <s v="ابيض"/>
    <m/>
    <s v="   ٢. سرير اسبانى ابيض ١٢٠"/>
    <n v="10987"/>
    <x v="0"/>
    <d v="2024-09-14T00:00:00"/>
    <n v="45"/>
    <n v="29"/>
    <x v="2"/>
    <n v="45"/>
    <n v="29"/>
    <s v="تأخر في التسليم"/>
    <d v="2024-10-29T00:00:00"/>
    <d v="2024-10-13T00:00:00"/>
    <x v="0"/>
  </r>
  <r>
    <s v="احمد ايمن"/>
    <x v="0"/>
    <x v="18"/>
    <x v="0"/>
    <x v="1"/>
    <s v="2 ميكانزم"/>
    <m/>
    <m/>
    <m/>
    <m/>
    <s v="ترابيزه قهوه علويه جديده "/>
    <n v="10319"/>
    <x v="0"/>
    <d v="2024-09-14T00:00:00"/>
    <n v="45"/>
    <n v="35"/>
    <x v="2"/>
    <n v="45"/>
    <n v="35"/>
    <s v="تأخر في التسليم"/>
    <d v="2024-10-29T00:00:00"/>
    <d v="2024-10-19T00:00:00"/>
    <x v="0"/>
  </r>
  <r>
    <s v="مصطفي غنيم"/>
    <x v="0"/>
    <x v="19"/>
    <x v="0"/>
    <x v="0"/>
    <s v="دورين"/>
    <s v="كيفنج"/>
    <n v="120"/>
    <s v="رمادى"/>
    <m/>
    <s v="سرير كيفنج دورين مقاس ١٢٠ رمادى "/>
    <n v="12999"/>
    <x v="0"/>
    <d v="2024-09-14T00:00:00"/>
    <n v="67"/>
    <n v="33"/>
    <x v="2"/>
    <n v="67"/>
    <n v="33"/>
    <s v="تأخر في التسليم"/>
    <d v="2024-11-20T00:00:00"/>
    <d v="2024-10-17T00:00:00"/>
    <x v="0"/>
  </r>
  <r>
    <s v="حسام عبدون"/>
    <x v="0"/>
    <x v="3"/>
    <x v="0"/>
    <x v="2"/>
    <s v="4*1"/>
    <m/>
    <m/>
    <s v="اسود"/>
    <s v="رمادى"/>
    <s v="كنبه سرير ٤ حركه "/>
    <n v="21999"/>
    <x v="0"/>
    <d v="2024-09-14T00:00:00"/>
    <n v="67"/>
    <n v="0"/>
    <x v="1"/>
    <n v="67"/>
    <n v="0"/>
    <s v="ملغي"/>
    <d v="2024-11-20T00:00:00"/>
    <m/>
    <x v="1"/>
  </r>
  <r>
    <s v="رامى"/>
    <x v="0"/>
    <x v="14"/>
    <x v="0"/>
    <x v="0"/>
    <s v="دورين"/>
    <s v="نوفال"/>
    <n v="100"/>
    <s v="رمادى"/>
    <m/>
    <s v="سرير نوفال ١٠٠ رمادى "/>
    <n v="12399"/>
    <x v="0"/>
    <d v="2024-09-14T00:00:00"/>
    <n v="67"/>
    <n v="17"/>
    <x v="2"/>
    <n v="67"/>
    <n v="17"/>
    <s v="تأخر في التسليم"/>
    <d v="2024-11-20T00:00:00"/>
    <d v="2024-10-01T00:00:00"/>
    <x v="0"/>
  </r>
  <r>
    <s v="رحاب"/>
    <x v="0"/>
    <x v="9"/>
    <x v="0"/>
    <x v="2"/>
    <s v="4*1"/>
    <m/>
    <m/>
    <s v="اسود"/>
    <s v="رمادى"/>
    <s v="كنبه سرير ٤ حركه "/>
    <n v="21999"/>
    <x v="0"/>
    <d v="2024-09-14T00:00:00"/>
    <n v="67"/>
    <n v="25"/>
    <x v="2"/>
    <n v="67"/>
    <n v="25"/>
    <s v="تأخر في التسليم"/>
    <d v="2024-11-20T00:00:00"/>
    <d v="2024-10-09T00:00:00"/>
    <x v="0"/>
  </r>
  <r>
    <s v="فؤاد المنسي"/>
    <x v="0"/>
    <x v="8"/>
    <x v="0"/>
    <x v="0"/>
    <s v="دورين"/>
    <s v="نوفال"/>
    <n v="80"/>
    <s v="ابيض"/>
    <m/>
    <s v="سرير نوفال مقاس ٨٠ ابيض "/>
    <n v="10999"/>
    <x v="0"/>
    <d v="2024-09-14T00:00:00"/>
    <n v="67"/>
    <n v="32"/>
    <x v="2"/>
    <n v="67"/>
    <n v="32"/>
    <s v="تأخر في التسليم"/>
    <d v="2024-11-20T00:00:00"/>
    <d v="2024-10-16T00:00:00"/>
    <x v="0"/>
  </r>
  <r>
    <s v="mohannad"/>
    <x v="0"/>
    <x v="10"/>
    <x v="0"/>
    <x v="0"/>
    <s v="دورين"/>
    <s v="كيفنج"/>
    <n v="80"/>
    <s v="ابيض"/>
    <m/>
    <m/>
    <n v="10999"/>
    <x v="0"/>
    <d v="2024-09-15T00:00:00"/>
    <n v="66"/>
    <n v="31"/>
    <x v="2"/>
    <n v="66"/>
    <n v="31"/>
    <s v="تأخر في التسليم"/>
    <d v="2024-11-20T00:00:00"/>
    <d v="2024-10-16T00:00:00"/>
    <x v="0"/>
  </r>
  <r>
    <s v="mohannad"/>
    <x v="0"/>
    <x v="10"/>
    <x v="0"/>
    <x v="0"/>
    <s v="دورين"/>
    <s v="كيفنج"/>
    <n v="80"/>
    <s v="ابيض"/>
    <m/>
    <m/>
    <n v="10999"/>
    <x v="0"/>
    <d v="2024-09-15T00:00:00"/>
    <n v="66"/>
    <n v="31"/>
    <x v="2"/>
    <n v="66"/>
    <n v="31"/>
    <s v="تأخر في التسليم"/>
    <d v="2024-11-20T00:00:00"/>
    <d v="2024-10-16T00:00:00"/>
    <x v="0"/>
  </r>
  <r>
    <s v="Mohamed Ayman"/>
    <x v="0"/>
    <x v="20"/>
    <x v="0"/>
    <x v="2"/>
    <s v="4*1"/>
    <m/>
    <m/>
    <s v="اسود"/>
    <s v="رمادى"/>
    <m/>
    <n v="21999"/>
    <x v="0"/>
    <d v="2024-09-15T00:00:00"/>
    <n v="66"/>
    <n v="34"/>
    <x v="2"/>
    <n v="66"/>
    <n v="34"/>
    <s v="تأخر في التسليم"/>
    <d v="2024-11-20T00:00:00"/>
    <d v="2024-10-19T00:00:00"/>
    <x v="0"/>
  </r>
  <r>
    <s v="اسامه"/>
    <x v="0"/>
    <x v="12"/>
    <x v="0"/>
    <x v="1"/>
    <s v="2 ميكانزم"/>
    <m/>
    <m/>
    <m/>
    <m/>
    <m/>
    <n v="7849"/>
    <x v="1"/>
    <d v="2024-09-16T00:00:00"/>
    <n v="44"/>
    <n v="59"/>
    <x v="0"/>
    <n v="44"/>
    <n v="59"/>
    <s v="تم في الموعد"/>
    <d v="2024-10-30T00:00:00"/>
    <d v="2024-11-14T00:00:00"/>
    <x v="0"/>
  </r>
  <r>
    <s v="اوسكار راتن"/>
    <x v="1"/>
    <x v="21"/>
    <x v="4"/>
    <x v="0"/>
    <s v="دورين"/>
    <s v="كيفنج"/>
    <n v="80"/>
    <s v="ابيض"/>
    <m/>
    <m/>
    <n v="5074"/>
    <x v="2"/>
    <d v="2024-09-21T00:00:00"/>
    <n v="14"/>
    <n v="21"/>
    <x v="0"/>
    <n v="14"/>
    <n v="21"/>
    <s v="تم في الموعد"/>
    <d v="2024-10-05T00:00:00"/>
    <d v="2024-10-12T00:00:00"/>
    <x v="0"/>
  </r>
  <r>
    <s v="تاكى"/>
    <x v="1"/>
    <x v="6"/>
    <x v="3"/>
    <x v="0"/>
    <s v="دورين"/>
    <s v="كينج"/>
    <n v="100"/>
    <s v="اسود وبنى"/>
    <m/>
    <m/>
    <n v="6250"/>
    <x v="2"/>
    <d v="2024-09-23T00:00:00"/>
    <n v="15"/>
    <n v="24"/>
    <x v="0"/>
    <n v="15"/>
    <n v="24"/>
    <s v="تم في الموعد"/>
    <d v="2024-10-08T00:00:00"/>
    <d v="2024-10-17T00:00:00"/>
    <x v="0"/>
  </r>
  <r>
    <s v="تاكى"/>
    <x v="1"/>
    <x v="6"/>
    <x v="3"/>
    <x v="0"/>
    <s v="دورين"/>
    <s v="كينج"/>
    <n v="100"/>
    <s v="اسود وبنى"/>
    <m/>
    <m/>
    <n v="6250"/>
    <x v="2"/>
    <d v="2024-09-23T00:00:00"/>
    <n v="15"/>
    <n v="24"/>
    <x v="0"/>
    <n v="15"/>
    <n v="24"/>
    <s v="تم في الموعد"/>
    <d v="2024-10-08T00:00:00"/>
    <d v="2024-10-17T00:00:00"/>
    <x v="0"/>
  </r>
  <r>
    <s v="ولاء بدوى"/>
    <x v="0"/>
    <x v="6"/>
    <x v="0"/>
    <x v="0"/>
    <s v="فردى"/>
    <s v="فورجينا"/>
    <n v="120"/>
    <s v="ابيض"/>
    <m/>
    <m/>
    <n v="8943"/>
    <x v="1"/>
    <d v="2024-09-26T00:00:00"/>
    <n v="45"/>
    <n v="14"/>
    <x v="2"/>
    <n v="45"/>
    <n v="14"/>
    <s v="تأخر في التسليم"/>
    <d v="2024-11-10T00:00:00"/>
    <d v="2024-10-10T00:00:00"/>
    <x v="0"/>
  </r>
  <r>
    <s v="عبد الرحمن يسري"/>
    <x v="0"/>
    <x v="0"/>
    <x v="0"/>
    <x v="1"/>
    <s v="رف سحاب"/>
    <m/>
    <m/>
    <m/>
    <m/>
    <m/>
    <n v="8349"/>
    <x v="1"/>
    <d v="2024-09-26T00:00:00"/>
    <n v="45"/>
    <n v="0"/>
    <x v="1"/>
    <n v="45"/>
    <n v="0"/>
    <s v="ملغي"/>
    <d v="2024-11-10T00:00:00"/>
    <m/>
    <x v="1"/>
  </r>
  <r>
    <s v="شيك هومز"/>
    <x v="1"/>
    <x v="5"/>
    <x v="1"/>
    <x v="2"/>
    <s v="4×1"/>
    <m/>
    <m/>
    <m/>
    <s v="نبيتى "/>
    <m/>
    <n v="14950"/>
    <x v="0"/>
    <d v="2024-09-26T00:00:00"/>
    <n v="18"/>
    <n v="17"/>
    <x v="2"/>
    <n v="18"/>
    <n v="17"/>
    <s v="تأخر في التسليم"/>
    <d v="2024-10-14T00:00:00"/>
    <d v="2024-10-13T00:00:00"/>
    <x v="0"/>
  </r>
  <r>
    <s v="شيك هومز"/>
    <x v="1"/>
    <x v="4"/>
    <x v="1"/>
    <x v="0"/>
    <s v="دورين"/>
    <s v="كينج"/>
    <n v="100"/>
    <s v="اسود "/>
    <m/>
    <m/>
    <n v="9208"/>
    <x v="1"/>
    <d v="2024-09-26T00:00:00"/>
    <n v="18"/>
    <n v="0"/>
    <x v="1"/>
    <n v="18"/>
    <n v="0"/>
    <s v="ملغي"/>
    <d v="2024-10-14T00:00:00"/>
    <m/>
    <x v="1"/>
  </r>
  <r>
    <s v="شيك هومز"/>
    <x v="1"/>
    <x v="4"/>
    <x v="1"/>
    <x v="0"/>
    <s v="فردى"/>
    <s v="اسبانى"/>
    <n v="120"/>
    <s v="ابيض"/>
    <m/>
    <m/>
    <n v="7433"/>
    <x v="0"/>
    <d v="2024-09-29T00:00:00"/>
    <n v="21"/>
    <n v="22"/>
    <x v="0"/>
    <n v="21"/>
    <n v="22"/>
    <s v="تم في الموعد"/>
    <d v="2024-10-20T00:00:00"/>
    <d v="2024-10-21T00:00:00"/>
    <x v="0"/>
  </r>
  <r>
    <s v="اوسكار راتن"/>
    <x v="1"/>
    <x v="21"/>
    <x v="4"/>
    <x v="0"/>
    <s v="فردى"/>
    <s v="فورجينا"/>
    <n v="120"/>
    <s v="ابيض"/>
    <m/>
    <m/>
    <n v="4020"/>
    <x v="2"/>
    <d v="2024-09-29T00:00:00"/>
    <n v="13"/>
    <n v="13"/>
    <x v="0"/>
    <n v="13"/>
    <n v="13"/>
    <s v="تم في الموعد"/>
    <d v="2024-10-12T00:00:00"/>
    <d v="2024-10-12T00:00:00"/>
    <x v="0"/>
  </r>
  <r>
    <s v="الحج محمد السويس"/>
    <x v="0"/>
    <x v="22"/>
    <x v="5"/>
    <x v="0"/>
    <s v="دورين"/>
    <s v="فانتاستك"/>
    <n v="100"/>
    <s v="ملون"/>
    <m/>
    <m/>
    <n v="8544.9054400000005"/>
    <x v="3"/>
    <d v="2024-10-01T00:00:00"/>
    <n v="8"/>
    <n v="8"/>
    <x v="0"/>
    <n v="8"/>
    <n v="8"/>
    <s v="تم في الموعد"/>
    <d v="2024-10-09T00:00:00"/>
    <d v="2024-10-09T00:00:00"/>
    <x v="0"/>
  </r>
  <r>
    <s v="الحج محمد السويس"/>
    <x v="0"/>
    <x v="22"/>
    <x v="5"/>
    <x v="0"/>
    <s v="منطبق"/>
    <m/>
    <m/>
    <s v="اسزد"/>
    <s v="بيج"/>
    <m/>
    <n v="4600"/>
    <x v="3"/>
    <d v="2024-10-01T00:00:00"/>
    <n v="8"/>
    <n v="8"/>
    <x v="0"/>
    <n v="8"/>
    <n v="8"/>
    <s v="تم في الموعد"/>
    <d v="2024-10-09T00:00:00"/>
    <d v="2024-10-09T00:00:00"/>
    <x v="0"/>
  </r>
  <r>
    <s v="الحج محمد السويس"/>
    <x v="0"/>
    <x v="22"/>
    <x v="5"/>
    <x v="2"/>
    <s v="فنيسيا"/>
    <m/>
    <m/>
    <s v="اسود"/>
    <s v="رصاصي مشجر"/>
    <m/>
    <n v="10000"/>
    <x v="3"/>
    <d v="2024-10-01T00:00:00"/>
    <n v="8"/>
    <n v="8"/>
    <x v="0"/>
    <n v="8"/>
    <n v="8"/>
    <s v="تم في الموعد"/>
    <d v="2024-10-09T00:00:00"/>
    <d v="2024-10-09T00:00:00"/>
    <x v="0"/>
  </r>
  <r>
    <s v="الحج محمد السويس"/>
    <x v="0"/>
    <x v="22"/>
    <x v="5"/>
    <x v="5"/>
    <s v="غير معروف"/>
    <m/>
    <m/>
    <s v="اسود"/>
    <s v="نبيتى "/>
    <m/>
    <m/>
    <x v="3"/>
    <d v="2024-10-01T00:00:00"/>
    <n v="8"/>
    <n v="8"/>
    <x v="0"/>
    <n v="8"/>
    <n v="8"/>
    <s v="تم في الموعد"/>
    <d v="2024-10-09T00:00:00"/>
    <d v="2024-10-09T00:00:00"/>
    <x v="0"/>
  </r>
  <r>
    <s v="عمرو الأسود"/>
    <x v="0"/>
    <x v="23"/>
    <x v="0"/>
    <x v="0"/>
    <s v="منطبق"/>
    <m/>
    <m/>
    <s v="اسود"/>
    <s v="اسود"/>
    <m/>
    <n v="8899"/>
    <x v="1"/>
    <d v="2024-10-03T00:00:00"/>
    <n v="45"/>
    <n v="0"/>
    <x v="1"/>
    <n v="45"/>
    <n v="0"/>
    <s v="ملغي"/>
    <d v="2024-11-17T00:00:00"/>
    <m/>
    <x v="1"/>
  </r>
  <r>
    <s v="شيك هومز"/>
    <x v="1"/>
    <x v="24"/>
    <x v="1"/>
    <x v="2"/>
    <s v="4×1"/>
    <m/>
    <m/>
    <s v="اسود "/>
    <s v="بترولى "/>
    <m/>
    <n v="14550"/>
    <x v="0"/>
    <d v="2024-10-08T00:00:00"/>
    <n v="21"/>
    <n v="22"/>
    <x v="0"/>
    <n v="21"/>
    <n v="22"/>
    <s v="تم في الموعد"/>
    <d v="2024-10-29T00:00:00"/>
    <d v="2024-10-30T00:00:00"/>
    <x v="0"/>
  </r>
  <r>
    <s v="شيك هومز"/>
    <x v="1"/>
    <x v="0"/>
    <x v="1"/>
    <x v="2"/>
    <s v="4×1"/>
    <m/>
    <m/>
    <s v="اسود "/>
    <s v="بترولى "/>
    <m/>
    <n v="14550"/>
    <x v="0"/>
    <d v="2024-10-07T00:00:00"/>
    <n v="22"/>
    <n v="8"/>
    <x v="2"/>
    <n v="22"/>
    <n v="8"/>
    <s v="تأخر في التسليم"/>
    <d v="2024-10-29T00:00:00"/>
    <d v="2024-10-15T00:00:00"/>
    <x v="0"/>
  </r>
  <r>
    <s v="شيك هومز"/>
    <x v="1"/>
    <x v="4"/>
    <x v="1"/>
    <x v="2"/>
    <s v="4×1"/>
    <m/>
    <m/>
    <s v="اسود "/>
    <s v="نبيتى "/>
    <m/>
    <n v="14550"/>
    <x v="1"/>
    <d v="2024-10-10T00:00:00"/>
    <n v="21"/>
    <n v="23"/>
    <x v="0"/>
    <n v="21"/>
    <n v="23"/>
    <s v="تم في الموعد"/>
    <d v="2024-10-31T00:00:00"/>
    <d v="2024-11-02T00:00:00"/>
    <x v="0"/>
  </r>
  <r>
    <s v="keira"/>
    <x v="0"/>
    <x v="9"/>
    <x v="0"/>
    <x v="0"/>
    <s v="دورين"/>
    <s v="نوفال "/>
    <s v="١٤٠/١٠٠"/>
    <s v="بينك"/>
    <m/>
    <m/>
    <n v="12899"/>
    <x v="1"/>
    <d v="2024-10-13T00:00:00"/>
    <n v="65"/>
    <n v="20"/>
    <x v="2"/>
    <n v="65"/>
    <n v="20"/>
    <s v="تأخر في التسليم"/>
    <d v="2024-12-17T00:00:00"/>
    <d v="2024-11-02T00:00:00"/>
    <x v="0"/>
  </r>
  <r>
    <s v="tarek"/>
    <x v="0"/>
    <x v="7"/>
    <x v="0"/>
    <x v="0"/>
    <s v="دورين"/>
    <s v="كيفنج"/>
    <n v="80"/>
    <s v="ابيض"/>
    <m/>
    <m/>
    <n v="10499"/>
    <x v="0"/>
    <d v="2024-10-16T00:00:00"/>
    <n v="64"/>
    <n v="5"/>
    <x v="2"/>
    <n v="64"/>
    <n v="5"/>
    <s v="تأخر في التسليم"/>
    <d v="2024-12-19T00:00:00"/>
    <d v="2024-10-21T00:00:00"/>
    <x v="0"/>
  </r>
  <r>
    <s v="reem"/>
    <x v="0"/>
    <x v="1"/>
    <x v="0"/>
    <x v="0"/>
    <s v="دورين"/>
    <s v="نوفال"/>
    <s v="١٠٠/١٤٠"/>
    <s v="بينك"/>
    <m/>
    <m/>
    <n v="12899"/>
    <x v="0"/>
    <d v="2024-10-17T00:00:00"/>
    <n v="66"/>
    <n v="47"/>
    <x v="2"/>
    <n v="66"/>
    <n v="47"/>
    <s v="تأخر في التسليم"/>
    <d v="2024-12-22T00:00:00"/>
    <d v="2024-12-03T00:00:00"/>
    <x v="0"/>
  </r>
  <r>
    <s v="هشام سامى"/>
    <x v="0"/>
    <x v="8"/>
    <x v="6"/>
    <x v="0"/>
    <s v="فردى"/>
    <s v="بلحه"/>
    <n v="140"/>
    <s v="نبيتى "/>
    <s v="خشب بنى فاتح"/>
    <m/>
    <n v="5135"/>
    <x v="0"/>
    <d v="2024-10-20T00:00:00"/>
    <n v="28"/>
    <n v="25"/>
    <x v="2"/>
    <n v="28"/>
    <n v="25"/>
    <s v="تأخر في التسليم"/>
    <d v="2024-11-17T00:00:00"/>
    <d v="2024-11-14T00:00:00"/>
    <x v="0"/>
  </r>
  <r>
    <s v="شيك هومز"/>
    <x v="1"/>
    <x v="0"/>
    <x v="1"/>
    <x v="0"/>
    <s v="دورين"/>
    <s v="فانتستيك"/>
    <n v="100"/>
    <s v="الوان"/>
    <m/>
    <m/>
    <n v="12777.5"/>
    <x v="1"/>
    <d v="2024-10-22T00:00:00"/>
    <n v="21"/>
    <n v="27"/>
    <x v="0"/>
    <n v="21"/>
    <n v="27"/>
    <s v="تم في الموعد"/>
    <d v="2024-11-12T00:00:00"/>
    <d v="2024-11-18T00:00:00"/>
    <x v="0"/>
  </r>
  <r>
    <s v="شيك هومز"/>
    <x v="1"/>
    <x v="0"/>
    <x v="1"/>
    <x v="0"/>
    <s v="دورين"/>
    <s v="فانتستيك"/>
    <n v="100"/>
    <s v="الوان"/>
    <m/>
    <m/>
    <n v="12777.5"/>
    <x v="1"/>
    <d v="2024-10-22T00:00:00"/>
    <n v="21"/>
    <n v="27"/>
    <x v="0"/>
    <n v="21"/>
    <n v="27"/>
    <s v="تم في الموعد"/>
    <d v="2024-11-12T00:00:00"/>
    <d v="2024-11-18T00:00:00"/>
    <x v="0"/>
  </r>
  <r>
    <s v="اوسكار راتن"/>
    <x v="1"/>
    <x v="7"/>
    <x v="4"/>
    <x v="0"/>
    <s v="دورين"/>
    <s v="فانتستيك"/>
    <n v="100"/>
    <s v="الوان"/>
    <m/>
    <m/>
    <n v="8544.91"/>
    <x v="2"/>
    <d v="2024-10-22T00:00:00"/>
    <n v="0"/>
    <n v="0"/>
    <x v="1"/>
    <n v="0"/>
    <n v="0"/>
    <s v="ملغي"/>
    <m/>
    <m/>
    <x v="1"/>
  </r>
  <r>
    <s v="فاطمه محمد"/>
    <x v="0"/>
    <x v="0"/>
    <x v="0"/>
    <x v="0"/>
    <s v="فردى"/>
    <s v="فورجينا"/>
    <n v="120"/>
    <s v="ابيض"/>
    <m/>
    <m/>
    <n v="8943"/>
    <x v="1"/>
    <d v="2024-10-21T00:00:00"/>
    <n v="24"/>
    <n v="28"/>
    <x v="0"/>
    <n v="24"/>
    <n v="28"/>
    <s v="تم في الموعد"/>
    <d v="2024-11-14T00:00:00"/>
    <d v="2024-11-18T00:00:00"/>
    <x v="0"/>
  </r>
  <r>
    <s v="شيك هومز"/>
    <x v="1"/>
    <x v="4"/>
    <x v="1"/>
    <x v="2"/>
    <s v="4×1"/>
    <m/>
    <m/>
    <s v="اسود"/>
    <m/>
    <m/>
    <n v="15516"/>
    <x v="0"/>
    <d v="2024-10-24T00:00:00"/>
    <n v="21"/>
    <n v="6"/>
    <x v="2"/>
    <n v="21"/>
    <n v="6"/>
    <s v="تأخر في التسليم"/>
    <d v="2024-11-14T00:00:00"/>
    <d v="2024-10-30T00:00:00"/>
    <x v="0"/>
  </r>
  <r>
    <s v="شيك هومز"/>
    <x v="1"/>
    <x v="4"/>
    <x v="1"/>
    <x v="0"/>
    <s v="دورين"/>
    <s v="كينج"/>
    <n v="100"/>
    <s v="اسود"/>
    <m/>
    <m/>
    <n v="10045"/>
    <x v="1"/>
    <d v="2024-10-26T00:00:00"/>
    <n v="21"/>
    <n v="0"/>
    <x v="1"/>
    <n v="21"/>
    <n v="0"/>
    <s v="ملغي"/>
    <d v="2024-11-16T00:00:00"/>
    <m/>
    <x v="1"/>
  </r>
  <r>
    <s v="ساره"/>
    <x v="0"/>
    <x v="0"/>
    <x v="0"/>
    <x v="0"/>
    <s v="دورين"/>
    <s v="كينج"/>
    <n v="90"/>
    <s v="اسود"/>
    <m/>
    <m/>
    <n v="11649"/>
    <x v="1"/>
    <d v="2024-10-26T00:00:00"/>
    <n v="15"/>
    <n v="23"/>
    <x v="0"/>
    <n v="15"/>
    <n v="23"/>
    <s v="تم في الموعد"/>
    <d v="2024-11-10T00:00:00"/>
    <d v="2024-11-18T00:00:00"/>
    <x v="0"/>
  </r>
  <r>
    <s v="ساره"/>
    <x v="0"/>
    <x v="0"/>
    <x v="0"/>
    <x v="0"/>
    <s v="دورين"/>
    <s v="كينج"/>
    <n v="90"/>
    <s v="اسود"/>
    <m/>
    <m/>
    <n v="11649"/>
    <x v="1"/>
    <d v="2024-10-26T00:00:00"/>
    <n v="15"/>
    <n v="23"/>
    <x v="0"/>
    <n v="15"/>
    <n v="23"/>
    <s v="تم في الموعد"/>
    <d v="2024-11-10T00:00:00"/>
    <d v="2024-11-18T00:00:00"/>
    <x v="0"/>
  </r>
  <r>
    <s v="بولا هومزمارت"/>
    <x v="0"/>
    <x v="10"/>
    <x v="0"/>
    <x v="0"/>
    <s v="فردى"/>
    <s v="اسبانى"/>
    <n v="100"/>
    <s v="ابيض"/>
    <m/>
    <m/>
    <s v="4800+300شحن"/>
    <x v="1"/>
    <d v="2024-10-28T00:00:00"/>
    <n v="14"/>
    <n v="24"/>
    <x v="0"/>
    <n v="14"/>
    <n v="24"/>
    <s v="تم في الموعد"/>
    <d v="2024-11-11T00:00:00"/>
    <d v="2024-11-21T00:00:00"/>
    <x v="0"/>
  </r>
  <r>
    <s v="بولا هومزمارت"/>
    <x v="0"/>
    <x v="10"/>
    <x v="0"/>
    <x v="0"/>
    <s v="فردى"/>
    <s v="اسبانى"/>
    <n v="120"/>
    <s v="ابيض"/>
    <m/>
    <m/>
    <s v="5000+300شحن"/>
    <x v="1"/>
    <d v="2024-10-28T00:00:00"/>
    <n v="14"/>
    <n v="24"/>
    <x v="0"/>
    <n v="14"/>
    <n v="24"/>
    <s v="تم في الموعد"/>
    <d v="2024-11-11T00:00:00"/>
    <d v="2024-11-21T00:00:00"/>
    <x v="0"/>
  </r>
  <r>
    <s v="محمد شكرى"/>
    <x v="0"/>
    <x v="25"/>
    <x v="0"/>
    <x v="0"/>
    <s v="دورين"/>
    <s v="كيفنج"/>
    <n v="80"/>
    <s v="ابيض"/>
    <m/>
    <m/>
    <n v="12099"/>
    <x v="0"/>
    <d v="2024-11-11T00:00:00"/>
    <n v="15"/>
    <n v="16"/>
    <x v="0"/>
    <n v="15"/>
    <n v="16"/>
    <s v="تم في الموعد"/>
    <d v="2024-11-26T00:00:00"/>
    <d v="2024-11-27T00:00:00"/>
    <x v="0"/>
  </r>
  <r>
    <s v="شيك هومز"/>
    <x v="1"/>
    <x v="24"/>
    <x v="1"/>
    <x v="2"/>
    <s v="4×1"/>
    <s v="ارينا"/>
    <m/>
    <s v="اسود "/>
    <s v="بترولى"/>
    <m/>
    <n v="15872"/>
    <x v="0"/>
    <d v="2024-11-08T00:00:00"/>
    <n v="25"/>
    <n v="6"/>
    <x v="2"/>
    <n v="25"/>
    <n v="6"/>
    <s v="تأخر في التسليم"/>
    <d v="2024-12-03T00:00:00"/>
    <d v="2024-11-14T00:00:00"/>
    <x v="0"/>
  </r>
  <r>
    <s v="منزلى"/>
    <x v="0"/>
    <x v="5"/>
    <x v="6"/>
    <x v="0"/>
    <s v="فردى"/>
    <s v="فورجينا"/>
    <n v="120"/>
    <s v="ابيض"/>
    <m/>
    <m/>
    <n v="4520"/>
    <x v="2"/>
    <d v="2024-11-10T00:00:00"/>
    <n v="12"/>
    <n v="11"/>
    <x v="2"/>
    <n v="12"/>
    <n v="11"/>
    <s v="تأخر في التسليم"/>
    <d v="2024-11-22T00:00:00"/>
    <d v="2024-11-21T00:00:00"/>
    <x v="0"/>
  </r>
  <r>
    <s v="اوسكار راتن"/>
    <x v="1"/>
    <x v="21"/>
    <x v="4"/>
    <x v="0"/>
    <s v="دورين"/>
    <s v="كينج"/>
    <n v="90"/>
    <s v="اسود"/>
    <m/>
    <m/>
    <n v="5766"/>
    <x v="2"/>
    <d v="2024-11-12T00:00:00"/>
    <n v="14"/>
    <n v="13"/>
    <x v="2"/>
    <n v="14"/>
    <n v="13"/>
    <s v="تأخر في التسليم"/>
    <d v="2024-11-26T00:00:00"/>
    <d v="2024-11-25T00:00:00"/>
    <x v="0"/>
  </r>
  <r>
    <s v="حماده"/>
    <x v="0"/>
    <x v="10"/>
    <x v="0"/>
    <x v="0"/>
    <s v="فردى"/>
    <s v="فورجينا"/>
    <n v="160"/>
    <s v="بنفسجى"/>
    <m/>
    <m/>
    <n v="11395"/>
    <x v="0"/>
    <d v="2024-11-12T00:00:00"/>
    <n v="12"/>
    <n v="15"/>
    <x v="0"/>
    <n v="12"/>
    <n v="15"/>
    <s v="تم في الموعد"/>
    <d v="2024-11-24T00:00:00"/>
    <d v="2024-11-27T00:00:00"/>
    <x v="0"/>
  </r>
  <r>
    <s v="صفاء عبد الباقي"/>
    <x v="0"/>
    <x v="5"/>
    <x v="0"/>
    <x v="0"/>
    <s v="دورين"/>
    <s v="كينج "/>
    <n v="80"/>
    <s v="ابيض"/>
    <m/>
    <m/>
    <n v="12919"/>
    <x v="0"/>
    <d v="2024-11-14T00:00:00"/>
    <n v="16"/>
    <n v="13"/>
    <x v="2"/>
    <n v="16"/>
    <n v="13"/>
    <s v="تأخر في التسليم"/>
    <d v="2024-11-30T00:00:00"/>
    <d v="2024-11-27T00:00:00"/>
    <x v="0"/>
  </r>
  <r>
    <s v="اوسكار راتن"/>
    <x v="1"/>
    <x v="21"/>
    <x v="4"/>
    <x v="0"/>
    <s v="دورين"/>
    <s v="نوفال"/>
    <n v="120"/>
    <s v="رمادى"/>
    <m/>
    <m/>
    <n v="6376"/>
    <x v="2"/>
    <d v="2024-11-14T00:00:00"/>
    <n v="13"/>
    <n v="11"/>
    <x v="2"/>
    <n v="13"/>
    <n v="11"/>
    <s v="تأخر في التسليم"/>
    <d v="2024-11-27T00:00:00"/>
    <d v="2024-11-25T00:00:00"/>
    <x v="0"/>
  </r>
  <r>
    <s v="اوسكار راتن"/>
    <x v="1"/>
    <x v="26"/>
    <x v="4"/>
    <x v="0"/>
    <s v="دورين "/>
    <s v="نوفال"/>
    <n v="90"/>
    <s v="اسود"/>
    <m/>
    <m/>
    <n v="5294"/>
    <x v="2"/>
    <d v="2024-11-14T00:00:00"/>
    <n v="13"/>
    <n v="11"/>
    <x v="2"/>
    <n v="13"/>
    <n v="11"/>
    <s v="تأخر في التسليم"/>
    <d v="2024-11-27T00:00:00"/>
    <d v="2024-11-25T00:00:00"/>
    <x v="0"/>
  </r>
  <r>
    <s v="رندا العامرى"/>
    <x v="0"/>
    <x v="0"/>
    <x v="7"/>
    <x v="0"/>
    <s v="دورين "/>
    <s v="كيفنج "/>
    <n v="80"/>
    <s v="ابيض"/>
    <m/>
    <m/>
    <n v="7396"/>
    <x v="0"/>
    <d v="2024-11-17T00:00:00"/>
    <n v="11"/>
    <n v="9"/>
    <x v="2"/>
    <n v="11"/>
    <n v="9"/>
    <s v="تأخر في التسليم"/>
    <d v="2024-11-28T00:00:00"/>
    <d v="2024-11-26T00:00:00"/>
    <x v="0"/>
  </r>
  <r>
    <s v="ساره"/>
    <x v="0"/>
    <x v="0"/>
    <x v="0"/>
    <x v="0"/>
    <s v="دورين"/>
    <s v="كينج"/>
    <n v="90"/>
    <s v="اسود"/>
    <m/>
    <m/>
    <n v="13439"/>
    <x v="1"/>
    <d v="2024-11-20T00:00:00"/>
    <n v="15"/>
    <n v="6"/>
    <x v="2"/>
    <n v="15"/>
    <n v="6"/>
    <s v="تأخر في التسليم"/>
    <d v="2024-12-05T00:00:00"/>
    <d v="2024-11-26T00:00:00"/>
    <x v="0"/>
  </r>
  <r>
    <s v="تاكى"/>
    <x v="1"/>
    <x v="6"/>
    <x v="3"/>
    <x v="0"/>
    <s v="فردى "/>
    <s v="امريكى"/>
    <n v="160"/>
    <s v="اسود"/>
    <m/>
    <m/>
    <n v="5100"/>
    <x v="2"/>
    <d v="2024-11-14T00:00:00"/>
    <n v="24"/>
    <n v="0"/>
    <x v="1"/>
    <n v="24"/>
    <n v="0"/>
    <s v="ملغي"/>
    <d v="2024-12-08T00:00:00"/>
    <m/>
    <x v="1"/>
  </r>
  <r>
    <s v="محمد حمدى"/>
    <x v="0"/>
    <x v="7"/>
    <x v="2"/>
    <x v="0"/>
    <s v="فردى"/>
    <s v="كوين "/>
    <n v="160"/>
    <s v="دهبي"/>
    <s v="ابيض"/>
    <m/>
    <s v="5700+300شحن"/>
    <x v="1"/>
    <d v="2024-11-22T00:00:00"/>
    <n v="10"/>
    <n v="5"/>
    <x v="2"/>
    <n v="10"/>
    <n v="5"/>
    <s v="تأخر في التسليم"/>
    <d v="2024-12-02T00:00:00"/>
    <d v="2024-11-27T00:00:00"/>
    <x v="0"/>
  </r>
  <r>
    <s v="بافلى هانى"/>
    <x v="0"/>
    <x v="27"/>
    <x v="0"/>
    <x v="0"/>
    <s v="فردى "/>
    <s v="اسبانى "/>
    <n v="120"/>
    <s v="رمادى"/>
    <m/>
    <m/>
    <n v="10885"/>
    <x v="1"/>
    <d v="2024-11-24T00:00:00"/>
    <n v="11"/>
    <n v="16"/>
    <x v="0"/>
    <n v="11"/>
    <n v="16"/>
    <s v="تم في الموعد"/>
    <d v="2024-12-05T00:00:00"/>
    <d v="2024-12-10T00:00:00"/>
    <x v="0"/>
  </r>
  <r>
    <s v="تاكى"/>
    <x v="1"/>
    <x v="6"/>
    <x v="3"/>
    <x v="2"/>
    <s v="t1"/>
    <s v="t1"/>
    <m/>
    <m/>
    <m/>
    <m/>
    <n v="6000"/>
    <x v="1"/>
    <d v="2024-11-19T00:00:00"/>
    <n v="16"/>
    <n v="1"/>
    <x v="2"/>
    <n v="16"/>
    <n v="1"/>
    <s v="تأخر في التسليم"/>
    <d v="2024-12-05T00:00:00"/>
    <d v="2024-11-20T00:00:00"/>
    <x v="0"/>
  </r>
  <r>
    <s v="رنا ميلاد"/>
    <x v="0"/>
    <x v="1"/>
    <x v="0"/>
    <x v="1"/>
    <s v="غير معروف"/>
    <s v="مكتبه"/>
    <m/>
    <m/>
    <m/>
    <m/>
    <n v="8449"/>
    <x v="0"/>
    <d v="2024-11-27T00:00:00"/>
    <n v="13"/>
    <n v="26"/>
    <x v="0"/>
    <n v="13"/>
    <n v="26"/>
    <s v="تم في الموعد"/>
    <d v="2024-12-10T00:00:00"/>
    <d v="2024-12-23T00:00:00"/>
    <x v="0"/>
  </r>
  <r>
    <s v="محمد ناجى"/>
    <x v="0"/>
    <x v="7"/>
    <x v="0"/>
    <x v="1"/>
    <s v="دوران "/>
    <s v="ميكانزم"/>
    <m/>
    <s v="ابيض"/>
    <s v="ابيض في بنى غامق"/>
    <m/>
    <n v="10249"/>
    <x v="1"/>
    <d v="2024-11-27T00:00:00"/>
    <n v="13"/>
    <n v="22"/>
    <x v="0"/>
    <n v="13"/>
    <n v="22"/>
    <s v="تم في الموعد"/>
    <d v="2024-12-10T00:00:00"/>
    <d v="2024-12-19T00:00:00"/>
    <x v="0"/>
  </r>
  <r>
    <s v="احمد عبد الستار"/>
    <x v="0"/>
    <x v="1"/>
    <x v="0"/>
    <x v="0"/>
    <s v="دورين"/>
    <s v="كيفنج"/>
    <n v="100"/>
    <s v="اسود"/>
    <m/>
    <m/>
    <n v="14905"/>
    <x v="0"/>
    <d v="2024-11-29T00:00:00"/>
    <n v="16"/>
    <n v="0"/>
    <x v="1"/>
    <n v="16"/>
    <n v="0"/>
    <s v="ملغي"/>
    <d v="2024-12-15T00:00:00"/>
    <m/>
    <x v="1"/>
  </r>
  <r>
    <s v="نور"/>
    <x v="0"/>
    <x v="9"/>
    <x v="0"/>
    <x v="1"/>
    <s v="دوران "/>
    <s v="ميكانزم"/>
    <m/>
    <s v="اسود "/>
    <s v="بنى غامق"/>
    <m/>
    <n v="10249"/>
    <x v="0"/>
    <d v="2024-11-30T00:00:00"/>
    <n v="12"/>
    <n v="0"/>
    <x v="1"/>
    <n v="12"/>
    <n v="0"/>
    <s v="ملغي"/>
    <d v="2024-12-12T00:00:00"/>
    <m/>
    <x v="1"/>
  </r>
  <r>
    <s v="نور"/>
    <x v="0"/>
    <x v="9"/>
    <x v="0"/>
    <x v="1"/>
    <s v="رف سحاب"/>
    <m/>
    <m/>
    <s v="اسود"/>
    <s v="بنى غامق "/>
    <m/>
    <n v="9029"/>
    <x v="0"/>
    <d v="2024-11-30T00:00:00"/>
    <n v="12"/>
    <n v="0"/>
    <x v="1"/>
    <n v="12"/>
    <n v="0"/>
    <s v="ملغي"/>
    <d v="2024-12-12T00:00:00"/>
    <m/>
    <x v="1"/>
  </r>
  <r>
    <s v="تامر"/>
    <x v="0"/>
    <x v="12"/>
    <x v="0"/>
    <x v="1"/>
    <s v="٢ ميكانزم"/>
    <m/>
    <m/>
    <s v="اسود "/>
    <s v="بيج "/>
    <m/>
    <n v="9029"/>
    <x v="0"/>
    <d v="2024-11-30T00:00:00"/>
    <n v="12"/>
    <n v="0"/>
    <x v="1"/>
    <n v="12"/>
    <n v="0"/>
    <s v="ملغي"/>
    <d v="2024-12-12T00:00:00"/>
    <m/>
    <x v="1"/>
  </r>
  <r>
    <s v="هناء اسامه"/>
    <x v="0"/>
    <x v="13"/>
    <x v="0"/>
    <x v="0"/>
    <s v="دورين "/>
    <s v="نوفال"/>
    <n v="80"/>
    <s v="ابيض"/>
    <m/>
    <m/>
    <n v="12099"/>
    <x v="0"/>
    <d v="2024-12-02T00:00:00"/>
    <n v="15"/>
    <n v="0"/>
    <x v="1"/>
    <n v="15"/>
    <n v="0"/>
    <s v="ملغي"/>
    <d v="2024-12-17T00:00:00"/>
    <m/>
    <x v="1"/>
  </r>
  <r>
    <s v="اوسكار راتن"/>
    <x v="1"/>
    <x v="21"/>
    <x v="4"/>
    <x v="0"/>
    <s v="دورين "/>
    <s v="كيفنج "/>
    <n v="90"/>
    <s v="ازرق"/>
    <m/>
    <m/>
    <n v="5217"/>
    <x v="2"/>
    <d v="2024-12-01T00:00:00"/>
    <n v="13"/>
    <n v="9"/>
    <x v="2"/>
    <n v="13"/>
    <n v="9"/>
    <s v="تأخر في التسليم"/>
    <d v="2024-12-14T00:00:00"/>
    <d v="2024-12-10T00:00:00"/>
    <x v="0"/>
  </r>
  <r>
    <s v="محمد عادل"/>
    <x v="0"/>
    <x v="18"/>
    <x v="0"/>
    <x v="0"/>
    <s v="منطبق"/>
    <m/>
    <m/>
    <s v="اسود"/>
    <s v="اسود"/>
    <m/>
    <n v="10249"/>
    <x v="1"/>
    <d v="2024-12-04T00:00:00"/>
    <n v="10"/>
    <n v="15"/>
    <x v="0"/>
    <n v="10"/>
    <n v="15"/>
    <s v="تم في الموعد"/>
    <d v="2024-12-14T00:00:00"/>
    <d v="2024-12-19T00:00:00"/>
    <x v="0"/>
  </r>
  <r>
    <s v="مريم عنان"/>
    <x v="0"/>
    <x v="5"/>
    <x v="1"/>
    <x v="0"/>
    <s v="دورين"/>
    <s v="كينج"/>
    <m/>
    <s v="اسود"/>
    <m/>
    <m/>
    <n v="10445"/>
    <x v="1"/>
    <d v="2024-12-09T00:00:00"/>
    <n v="22"/>
    <n v="3"/>
    <x v="2"/>
    <n v="22"/>
    <n v="3"/>
    <s v="تأخر في التسليم"/>
    <d v="2024-12-31T00:00:00"/>
    <d v="2024-12-12T00:00:00"/>
    <x v="0"/>
  </r>
  <r>
    <s v="هبه عطيه"/>
    <x v="0"/>
    <x v="9"/>
    <x v="0"/>
    <x v="1"/>
    <s v="دوران"/>
    <s v="ميكانزم"/>
    <m/>
    <s v="اسود "/>
    <s v="بنى غامق"/>
    <m/>
    <n v="11199"/>
    <x v="1"/>
    <d v="2024-12-12T00:00:00"/>
    <n v="12"/>
    <n v="7"/>
    <x v="2"/>
    <n v="12"/>
    <n v="7"/>
    <s v="تأخر في التسليم"/>
    <d v="2024-12-24T00:00:00"/>
    <d v="2024-12-19T00:00:00"/>
    <x v="0"/>
  </r>
  <r>
    <s v="حمدى ذكرى"/>
    <x v="0"/>
    <x v="0"/>
    <x v="0"/>
    <x v="0"/>
    <s v="دورين"/>
    <s v="نوفال"/>
    <n v="80"/>
    <s v="اسود"/>
    <m/>
    <m/>
    <n v="13099"/>
    <x v="1"/>
    <d v="2024-12-12T00:00:00"/>
    <n v="16"/>
    <n v="17"/>
    <x v="0"/>
    <n v="16"/>
    <n v="17"/>
    <s v="تم في الموعد"/>
    <d v="2024-12-28T00:00:00"/>
    <d v="2024-12-29T00:00:00"/>
    <x v="0"/>
  </r>
  <r>
    <s v="شيك هومز"/>
    <x v="1"/>
    <x v="24"/>
    <x v="1"/>
    <x v="2"/>
    <s v="4×1"/>
    <s v="ارينا"/>
    <m/>
    <s v="اسود "/>
    <s v="روك ١٠"/>
    <m/>
    <n v="8700"/>
    <x v="2"/>
    <d v="2024-12-14T00:00:00"/>
    <n v="22"/>
    <n v="15"/>
    <x v="2"/>
    <n v="22"/>
    <n v="15"/>
    <s v="تأخر في التسليم"/>
    <d v="2025-01-05T00:00:00"/>
    <d v="2024-12-29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23FC35-014A-41F1-9B2B-6475A1B4D49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3">
    <pivotField showAll="0"/>
    <pivotField showAll="0">
      <items count="3">
        <item x="0"/>
        <item x="1"/>
        <item t="default"/>
      </items>
    </pivotField>
    <pivotField showAll="0"/>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Items count="1">
    <i/>
  </rowItems>
  <colItems count="1">
    <i/>
  </colItems>
  <dataFields count="1">
    <dataField name="Sum of سعر البيع " fld="11"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700DA2-FBFE-4C3A-8F97-2A9FB79CEBE6}" name="PivotTable1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W3:AX7" firstHeaderRow="1" firstDataRow="1" firstDataCol="1"/>
  <pivotFields count="23">
    <pivotField showAll="0"/>
    <pivotField showAll="0">
      <items count="3">
        <item x="0"/>
        <item x="1"/>
        <item t="default"/>
      </items>
    </pivotField>
    <pivotField showAll="0"/>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axis="axisRow" dataField="1" showAll="0" sortType="descending">
      <items count="6">
        <item m="1" x="4"/>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2"/>
  </rowFields>
  <rowItems count="4">
    <i>
      <x v="1"/>
    </i>
    <i>
      <x v="2"/>
    </i>
    <i>
      <x v="4"/>
    </i>
    <i>
      <x v="3"/>
    </i>
  </rowItems>
  <colItems count="1">
    <i/>
  </colItems>
  <dataFields count="1">
    <dataField name="Count of طريقه الدفع " fld="12" subtotal="count" showDataAs="percentOfTotal" baseField="0" baseItem="0" numFmtId="10"/>
  </dataFields>
  <formats count="1">
    <format dxfId="6">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1C0B46-C493-482B-9CBB-5A2839D05EB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3">
    <pivotField showAll="0"/>
    <pivotField showAll="0">
      <items count="3">
        <item x="0"/>
        <item x="1"/>
        <item t="default"/>
      </items>
    </pivotField>
    <pivotField showAll="0"/>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Items count="1">
    <i/>
  </rowItems>
  <colItems count="1">
    <i/>
  </colItems>
  <dataFields count="1">
    <dataField name="Average of سعر البيع " fld="11" subtotal="average"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9FA6F1-D64E-474F-85E7-F3ADB069A2E5}"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S4" firstHeaderRow="1" firstDataRow="1" firstDataCol="0"/>
  <pivotFields count="23">
    <pivotField showAll="0"/>
    <pivotField showAll="0">
      <items count="3">
        <item x="0"/>
        <item x="1"/>
        <item t="default"/>
      </items>
    </pivotField>
    <pivotField showAll="0"/>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x="0"/>
        <item x="1"/>
        <item t="default"/>
      </items>
    </pivotField>
  </pivotFields>
  <rowItems count="1">
    <i/>
  </rowItems>
  <colItems count="1">
    <i/>
  </colItems>
  <dataFields count="1">
    <dataField name="Average of مده التسليم (الفعليه)"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29083F-FADD-4CBB-BCF9-DCE690895AF6}" name="PivotTable6"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Z3:AA11" firstHeaderRow="1" firstDataRow="1" firstDataCol="1"/>
  <pivotFields count="23">
    <pivotField showAll="0"/>
    <pivotField showAll="0">
      <items count="3">
        <item x="0"/>
        <item x="1"/>
        <item t="default"/>
      </items>
    </pivotField>
    <pivotField showAll="0"/>
    <pivotField axis="axisRow" showAll="0" sortType="descending">
      <items count="9">
        <item x="0"/>
        <item x="6"/>
        <item x="7"/>
        <item x="2"/>
        <item x="1"/>
        <item x="3"/>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3"/>
  </rowFields>
  <rowItems count="8">
    <i>
      <x/>
    </i>
    <i>
      <x v="4"/>
    </i>
    <i>
      <x v="6"/>
    </i>
    <i>
      <x v="5"/>
    </i>
    <i>
      <x v="7"/>
    </i>
    <i>
      <x v="3"/>
    </i>
    <i>
      <x v="1"/>
    </i>
    <i>
      <x v="2"/>
    </i>
  </rowItems>
  <colItems count="1">
    <i/>
  </colItems>
  <dataFields count="1">
    <dataField name="Count of الصنف"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DC94A6-9321-47AE-B90F-AA51274E3E07}" name="PivotTable7"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H3:AI15" firstHeaderRow="1" firstDataRow="1" firstDataCol="1"/>
  <pivotFields count="23">
    <pivotField showAll="0"/>
    <pivotField showAll="0">
      <items count="3">
        <item x="0"/>
        <item x="1"/>
        <item t="default"/>
      </items>
    </pivotField>
    <pivotField axis="axisRow" showAll="0" measureFilter="1" sortType="descending">
      <items count="32">
        <item m="1" x="30"/>
        <item x="1"/>
        <item x="19"/>
        <item x="5"/>
        <item x="0"/>
        <item x="17"/>
        <item x="23"/>
        <item x="2"/>
        <item x="22"/>
        <item x="14"/>
        <item x="6"/>
        <item x="18"/>
        <item x="12"/>
        <item x="3"/>
        <item x="9"/>
        <item x="13"/>
        <item x="26"/>
        <item m="1" x="29"/>
        <item x="10"/>
        <item x="8"/>
        <item x="15"/>
        <item x="27"/>
        <item x="4"/>
        <item x="16"/>
        <item m="1" x="28"/>
        <item x="24"/>
        <item x="25"/>
        <item x="7"/>
        <item x="20"/>
        <item x="11"/>
        <item x="21"/>
        <item t="default"/>
      </items>
      <autoSortScope>
        <pivotArea dataOnly="0" outline="0" fieldPosition="0">
          <references count="1">
            <reference field="4294967294" count="1" selected="0">
              <x v="0"/>
            </reference>
          </references>
        </pivotArea>
      </autoSortScope>
    </pivotField>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2"/>
  </rowFields>
  <rowItems count="12">
    <i>
      <x v="4"/>
    </i>
    <i>
      <x v="14"/>
    </i>
    <i>
      <x v="10"/>
    </i>
    <i>
      <x v="22"/>
    </i>
    <i>
      <x v="3"/>
    </i>
    <i>
      <x v="18"/>
    </i>
    <i>
      <x v="27"/>
    </i>
    <i>
      <x v="30"/>
    </i>
    <i>
      <x v="1"/>
    </i>
    <i>
      <x v="19"/>
    </i>
    <i>
      <x v="9"/>
    </i>
    <i>
      <x v="29"/>
    </i>
  </rowItems>
  <colItems count="1">
    <i/>
  </colItems>
  <dataFields count="1">
    <dataField name="Count of سعر البيع " fld="11" subtotal="count"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F62874-5F79-4CC3-8259-B7EAF341D302}"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I3:BJ9" firstHeaderRow="1" firstDataRow="1" firstDataCol="1"/>
  <pivotFields count="23">
    <pivotField showAll="0"/>
    <pivotField showAll="0">
      <items count="3">
        <item x="0"/>
        <item x="1"/>
        <item t="default"/>
      </items>
    </pivotField>
    <pivotField showAll="0"/>
    <pivotField showAll="0">
      <items count="9">
        <item x="5"/>
        <item x="4"/>
        <item x="3"/>
        <item x="1"/>
        <item x="2"/>
        <item x="7"/>
        <item x="6"/>
        <item x="0"/>
        <item t="default"/>
      </items>
    </pivotField>
    <pivotField axis="axisRow" dataField="1" showAll="0" sortType="descending">
      <items count="8">
        <item x="2"/>
        <item x="4"/>
        <item x="5"/>
        <item m="1" x="6"/>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4"/>
  </rowFields>
  <rowItems count="6">
    <i>
      <x v="4"/>
    </i>
    <i>
      <x/>
    </i>
    <i>
      <x v="6"/>
    </i>
    <i>
      <x v="5"/>
    </i>
    <i>
      <x v="1"/>
    </i>
    <i>
      <x v="2"/>
    </i>
  </rowItems>
  <colItems count="1">
    <i/>
  </colItems>
  <dataFields count="1">
    <dataField name="Count of الصنف"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0491D3-EFDA-4655-85C9-E013D9410A85}" name="PivotTable16"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C3:BD5" firstHeaderRow="1" firstDataRow="1" firstDataCol="1"/>
  <pivotFields count="23">
    <pivotField showAll="0"/>
    <pivotField showAll="0">
      <items count="3">
        <item x="0"/>
        <item x="1"/>
        <item t="default"/>
      </items>
    </pivotField>
    <pivotField showAll="0"/>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22"/>
  </rowFields>
  <rowItems count="2">
    <i>
      <x/>
    </i>
    <i>
      <x v="1"/>
    </i>
  </rowItems>
  <colItems count="1">
    <i/>
  </colItems>
  <dataFields count="1">
    <dataField name="Count of الحالة" fld="2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DECA08-C395-4535-85AC-CC90D47728BE}" name="PivotTable1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P3:AQ6" firstHeaderRow="1" firstDataRow="1" firstDataCol="1"/>
  <pivotFields count="23">
    <pivotField showAll="0"/>
    <pivotField showAll="0">
      <items count="3">
        <item x="0"/>
        <item x="1"/>
        <item t="default"/>
      </items>
    </pivotField>
    <pivotField showAll="0"/>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m="1" x="3"/>
        <item x="2"/>
        <item x="0"/>
        <item x="1"/>
        <item t="default"/>
      </items>
    </pivotField>
    <pivotField showAll="0"/>
    <pivotField showAll="0"/>
    <pivotField showAll="0"/>
    <pivotField showAll="0"/>
    <pivotField showAll="0"/>
    <pivotField showAll="0">
      <items count="3">
        <item x="0"/>
        <item x="1"/>
        <item t="default"/>
      </items>
    </pivotField>
  </pivotFields>
  <rowFields count="1">
    <field x="16"/>
  </rowFields>
  <rowItems count="3">
    <i>
      <x v="1"/>
    </i>
    <i>
      <x v="2"/>
    </i>
    <i>
      <x v="3"/>
    </i>
  </rowItems>
  <colItems count="1">
    <i/>
  </colItems>
  <dataFields count="1">
    <dataField name="Count of حاله الطلب" fld="16" subtotal="count" showDataAs="percentOfTotal" baseField="0" baseItem="0" numFmtId="9"/>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A085AE-7074-4BAC-A3C3-A93D1C6F8E6D}"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3:N5" firstHeaderRow="1" firstDataRow="1" firstDataCol="1"/>
  <pivotFields count="23">
    <pivotField showAll="0"/>
    <pivotField axis="axisRow" dataField="1" showAll="0">
      <items count="3">
        <item x="0"/>
        <item x="1"/>
        <item t="default"/>
      </items>
    </pivotField>
    <pivotField showAll="0"/>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
  </rowFields>
  <rowItems count="2">
    <i>
      <x/>
    </i>
    <i>
      <x v="1"/>
    </i>
  </rowItems>
  <colItems count="1">
    <i/>
  </colItems>
  <dataFields count="1">
    <dataField name="Count of نوع العميل" fld="1" subtotal="count" showDataAs="percentOfTotal" baseField="0" baseItem="0" numFmtId="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689EFEE-CBF3-4A63-A037-99FA13F67689}" autoFormatId="16" applyNumberFormats="0" applyBorderFormats="0" applyFontFormats="0" applyPatternFormats="0" applyAlignmentFormats="0" applyWidthHeightFormats="0">
  <queryTableRefresh nextId="49">
    <queryTableFields count="23">
      <queryTableField id="1" name="أسم العميل" tableColumnId="1"/>
      <queryTableField id="2" name="نوع العميل" tableColumnId="2"/>
      <queryTableField id="3" name="العنوان" tableColumnId="3"/>
      <queryTableField id="4" name="منصة البيع " tableColumnId="4"/>
      <queryTableField id="5" name="الصنف" tableColumnId="5"/>
      <queryTableField id="6" name="نوع الصنف" tableColumnId="6"/>
      <queryTableField id="18" name="الاسم" tableColumnId="18"/>
      <queryTableField id="8" name="المقاس" tableColumnId="8"/>
      <queryTableField id="9" name="اللون المعدن" tableColumnId="9"/>
      <queryTableField id="10" name="لون القماش" tableColumnId="10"/>
      <queryTableField id="11" name="المنتج" tableColumnId="11"/>
      <queryTableField id="12" name="سعر البيع " tableColumnId="12"/>
      <queryTableField id="13" name="طريقه الدفع " tableColumnId="13"/>
      <queryTableField id="14" name="ميعاد الطلب" tableColumnId="14"/>
      <queryTableField id="21" dataBound="0" tableColumnId="20"/>
      <queryTableField id="22" dataBound="0" tableColumnId="21"/>
      <queryTableField id="35" dataBound="0" tableColumnId="26"/>
      <queryTableField id="43" name="مده التسليم (المحدده)" tableColumnId="24"/>
      <queryTableField id="44" name="مده التسليم (الفعليه)" tableColumnId="25"/>
      <queryTableField id="45" name="حاله الطلب" tableColumnId="27"/>
      <queryTableField id="15" name="ميعاد التسليم" tableColumnId="15"/>
      <queryTableField id="16" name="تاريخ التسليم" tableColumnId="16"/>
      <queryTableField id="17" name="الحالة" tableColumnId="17"/>
    </queryTableFields>
    <queryTableDeletedFields count="8">
      <deletedField name="الاسم"/>
      <deletedField name="مده التسليم (الفعليه)"/>
      <deletedField name="مده التسليم (المحدده)"/>
      <deletedField name="مده التسليم (المحدده)2"/>
      <deletedField name="مده التسليم (الفعليه)3"/>
      <deletedField name="مده التسليم (المحدده)"/>
      <deletedField name="مده التسليم (الفعليه)"/>
      <deletedField name="حاله الطلب"/>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977BF5B9-F08F-4208-8EC4-62BD63A90DC3}" sourceName="نوع العميل">
  <pivotTables>
    <pivotTable tabId="8" name="PivotTable5"/>
    <pivotTable tabId="8" name="PivotTable1"/>
    <pivotTable tabId="8" name="PivotTable14"/>
    <pivotTable tabId="8" name="PivotTable15"/>
    <pivotTable tabId="8" name="PivotTable16"/>
    <pivotTable tabId="8" name="PivotTable2"/>
    <pivotTable tabId="8" name="PivotTable3"/>
    <pivotTable tabId="8" name="PivotTable4"/>
    <pivotTable tabId="8" name="PivotTable6"/>
    <pivotTable tabId="8" name="PivotTable7"/>
  </pivotTables>
  <data>
    <tabular pivotCacheId="1987720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72C07726-2F8B-4888-84E1-421A6E1DF17F}" sourceName="الحالة">
  <pivotTables>
    <pivotTable tabId="8" name="PivotTable5"/>
    <pivotTable tabId="8" name="PivotTable1"/>
    <pivotTable tabId="8" name="PivotTable14"/>
    <pivotTable tabId="8" name="PivotTable15"/>
    <pivotTable tabId="8" name="PivotTable16"/>
    <pivotTable tabId="8" name="PivotTable2"/>
    <pivotTable tabId="8" name="PivotTable3"/>
    <pivotTable tabId="8" name="PivotTable4"/>
    <pivotTable tabId="8" name="PivotTable6"/>
    <pivotTable tabId="8" name="PivotTable7"/>
  </pivotTables>
  <data>
    <tabular pivotCacheId="19877206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EF091DAE-18B4-4C0C-B82F-67D2CBAF44F4}" sourceName="منصة البيع ">
  <pivotTables>
    <pivotTable tabId="8" name="PivotTable6"/>
    <pivotTable tabId="8" name="PivotTable1"/>
    <pivotTable tabId="8" name="PivotTable14"/>
    <pivotTable tabId="8" name="PivotTable15"/>
    <pivotTable tabId="8" name="PivotTable16"/>
    <pivotTable tabId="8" name="PivotTable2"/>
    <pivotTable tabId="8" name="PivotTable3"/>
    <pivotTable tabId="8" name="PivotTable4"/>
    <pivotTable tabId="8" name="PivotTable5"/>
    <pivotTable tabId="8" name="PivotTable7"/>
  </pivotTables>
  <data>
    <tabular pivotCacheId="198772064">
      <items count="8">
        <i x="5" s="1"/>
        <i x="4" s="1"/>
        <i x="3" s="1"/>
        <i x="1" s="1"/>
        <i x="2" s="1"/>
        <i x="7"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نوع العميل 1" xr10:uid="{E0BD752C-114E-4671-BC7E-EA4529F48ADA}" cache="Slicer_نوع_العميل" caption="نوع العميل" columnCount="2" style="SlicerStyleOther1" rowHeight="274320"/>
  <slicer name="الحالة 1" xr10:uid="{40DAFE4A-697C-477A-A9D6-81D3CFDFFCDF}" cache="Slicer_الحالة" caption="الحالة" columnCount="2" style="SlicerStyleOther1" rowHeight="274320"/>
  <slicer name="منصة البيع  1" xr10:uid="{4A1D98ED-C3B8-4918-BF0D-CCDE612EF970}" cache="Slicer_منصة_البيع" caption="منصة البيع " columnCount="2"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8A2E25-2E57-4B84-9EAF-EEF9D562956E}" name="Table13" displayName="Table13" ref="A1:W127" tableType="queryTable" totalsRowShown="0">
  <autoFilter ref="A1:W127" xr:uid="{2F8A2E25-2E57-4B84-9EAF-EEF9D562956E}">
    <filterColumn colId="12">
      <filters>
        <filter val="مسبق الدفع"/>
      </filters>
    </filterColumn>
  </autoFilter>
  <tableColumns count="23">
    <tableColumn id="1" xr3:uid="{A3E696E6-2538-4842-A5F8-496F0C2A6EEE}" uniqueName="1" name="أسم العميل" queryTableFieldId="1" dataDxfId="29"/>
    <tableColumn id="2" xr3:uid="{8C0AD951-88B1-4442-B626-58850CD8EA0D}" uniqueName="2" name="نوع العميل" queryTableFieldId="2" dataDxfId="28"/>
    <tableColumn id="3" xr3:uid="{94D8F6BB-4DE3-49A8-A2E1-FC95E94900E6}" uniqueName="3" name="العنوان" queryTableFieldId="3" dataDxfId="27"/>
    <tableColumn id="4" xr3:uid="{39875924-46C3-4396-8772-565DD1A418D3}" uniqueName="4" name="منصة البيع " queryTableFieldId="4" dataDxfId="26"/>
    <tableColumn id="5" xr3:uid="{834D21B2-81A3-420C-9A7E-8272D208A96A}" uniqueName="5" name="الصنف" queryTableFieldId="5" dataDxfId="25"/>
    <tableColumn id="6" xr3:uid="{13B14219-8AD0-4A98-94F3-552AE299DE05}" uniqueName="6" name="نوع الصنف" queryTableFieldId="6" dataDxfId="24"/>
    <tableColumn id="18" xr3:uid="{3D98325D-F44E-46DF-B007-9A82FA0B196F}" uniqueName="18" name="الاسم" queryTableFieldId="18" dataDxfId="23"/>
    <tableColumn id="8" xr3:uid="{95FEF257-BAEA-4B50-B1A0-5BA710838FFB}" uniqueName="8" name="المقاس" queryTableFieldId="8" dataDxfId="22"/>
    <tableColumn id="9" xr3:uid="{79482E09-766F-42A7-A71F-385C9233FE32}" uniqueName="9" name="اللون المعدن" queryTableFieldId="9" dataDxfId="21"/>
    <tableColumn id="10" xr3:uid="{1BCDD7B8-188C-4F82-8984-8729760E6FC1}" uniqueName="10" name="لون القماش" queryTableFieldId="10" dataDxfId="20"/>
    <tableColumn id="11" xr3:uid="{78589154-0544-449B-A435-DD9872A1F243}" uniqueName="11" name="المنتج" queryTableFieldId="11" dataDxfId="19"/>
    <tableColumn id="12" xr3:uid="{9A7AE200-16C1-449D-B34B-FD408A272180}" uniqueName="12" name="سعر البيع " queryTableFieldId="12" dataDxfId="18" dataCellStyle="Comma"/>
    <tableColumn id="13" xr3:uid="{BB9C3864-0C92-4DAB-AB87-55FE49C7657B}" uniqueName="13" name="طريقه الدفع " queryTableFieldId="13" dataDxfId="17"/>
    <tableColumn id="14" xr3:uid="{64E3ABB3-DF3F-4B09-AE4D-423A36B32C87}" uniqueName="14" name="ميعاد الطلب" queryTableFieldId="14" dataDxfId="16"/>
    <tableColumn id="20" xr3:uid="{015C8A84-F26C-4004-A851-674D4122B7ED}" uniqueName="20" name="مده التسليم (المحدده)" queryTableFieldId="21" dataDxfId="15">
      <calculatedColumnFormula>IF(OR(ISBLANK(U2),ISBLANK(N2)),0,U2-N2)</calculatedColumnFormula>
    </tableColumn>
    <tableColumn id="21" xr3:uid="{68DA7B1F-B76E-4D26-B88E-9D4CAC486557}" uniqueName="21" name="مده التسليم (الفعليه)" queryTableFieldId="22" dataDxfId="14">
      <calculatedColumnFormula>IF(OR(ISBLANK(V2),ISBLANK(N2)),0,V2-N2)</calculatedColumnFormula>
    </tableColumn>
    <tableColumn id="26" xr3:uid="{0DBCAB5A-86DB-46CF-9749-F562069A586F}" uniqueName="26" name="حاله الطلب" queryTableFieldId="35" dataDxfId="13">
      <calculatedColumnFormula>IF(Table13[[#This Row],[مده التسليم (الفعليه)]]=0, "ملغي", IF(Table13[[#This Row],[مده التسليم (الفعليه)]]&gt;=Table13[[#This Row],[مده التسليم (المحدده)]], "تم في الموعد", "تأخر في التسليم"))</calculatedColumnFormula>
    </tableColumn>
    <tableColumn id="24" xr3:uid="{5C18AF65-74DB-4B9F-ADA0-D565A75A7FED}" uniqueName="24" name="مده التسليم (المحدده)2" queryTableFieldId="43"/>
    <tableColumn id="25" xr3:uid="{59CF2C25-ED52-4E8F-87C9-907C8D6AAD4F}" uniqueName="25" name="مده التسليم (الفعليه)3" queryTableFieldId="44"/>
    <tableColumn id="27" xr3:uid="{F721D6A7-BA53-40FF-BE06-637BDF47380C}" uniqueName="27" name="حاله الطلب4" queryTableFieldId="45"/>
    <tableColumn id="15" xr3:uid="{90694018-2606-4531-AB4B-2234D52FE581}" uniqueName="15" name="ميعاد التسليم" queryTableFieldId="15" dataDxfId="12"/>
    <tableColumn id="16" xr3:uid="{D1BE609A-766E-4314-8606-77FD2E39989F}" uniqueName="16" name="تاريخ التسليم" queryTableFieldId="16" dataDxfId="11"/>
    <tableColumn id="17" xr3:uid="{02285665-54E4-4ECD-8D3F-E62622573DD1}" uniqueName="17" name="الحالة" queryTableFieldId="17"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0FC66-CF87-4C64-8BCB-E1E2D4B02D70}">
  <sheetPr codeName="Sheet1"/>
  <dimension ref="A1:W127"/>
  <sheetViews>
    <sheetView rightToLeft="1" workbookViewId="0"/>
  </sheetViews>
  <sheetFormatPr defaultRowHeight="14.4" x14ac:dyDescent="0.3"/>
  <cols>
    <col min="1" max="1" width="15.44140625" bestFit="1" customWidth="1"/>
    <col min="2" max="2" width="8.21875" bestFit="1" customWidth="1"/>
    <col min="3" max="3" width="14.6640625" bestFit="1" customWidth="1"/>
    <col min="4" max="4" width="8.88671875" bestFit="1" customWidth="1"/>
    <col min="5" max="5" width="6.21875" bestFit="1" customWidth="1"/>
    <col min="6" max="6" width="8.6640625" bestFit="1" customWidth="1"/>
    <col min="7" max="7" width="7.109375" hidden="1" customWidth="1"/>
    <col min="8" max="8" width="8.109375" hidden="1" customWidth="1"/>
    <col min="9" max="9" width="11.6640625" hidden="1" customWidth="1"/>
    <col min="10" max="10" width="12.44140625" hidden="1" customWidth="1"/>
    <col min="11" max="11" width="34.44140625" bestFit="1" customWidth="1"/>
    <col min="12" max="12" width="13.88671875" style="4" bestFit="1" customWidth="1"/>
    <col min="13" max="13" width="10.33203125" bestFit="1" customWidth="1"/>
    <col min="14" max="14" width="10.33203125" style="2" bestFit="1" customWidth="1"/>
    <col min="15" max="15" width="16.44140625" bestFit="1" customWidth="1"/>
    <col min="16" max="16" width="15.5546875" bestFit="1" customWidth="1"/>
    <col min="17" max="17" width="10.88671875" bestFit="1" customWidth="1"/>
    <col min="18" max="18" width="17.5546875" bestFit="1" customWidth="1"/>
    <col min="19" max="19" width="16.5546875" bestFit="1" customWidth="1"/>
    <col min="20" max="20" width="10.88671875" bestFit="1" customWidth="1"/>
    <col min="21" max="21" width="10.33203125" bestFit="1" customWidth="1"/>
    <col min="22" max="22" width="10.44140625" bestFit="1" customWidth="1"/>
    <col min="23" max="23" width="7.6640625" customWidth="1"/>
  </cols>
  <sheetData>
    <row r="1" spans="1:23" x14ac:dyDescent="0.3">
      <c r="A1" t="s">
        <v>113</v>
      </c>
      <c r="B1" t="s">
        <v>198</v>
      </c>
      <c r="C1" t="s">
        <v>0</v>
      </c>
      <c r="D1" t="s">
        <v>3</v>
      </c>
      <c r="E1" t="s">
        <v>196</v>
      </c>
      <c r="F1" t="s">
        <v>197</v>
      </c>
      <c r="G1" t="s">
        <v>114</v>
      </c>
      <c r="H1" t="s">
        <v>77</v>
      </c>
      <c r="I1" t="s">
        <v>79</v>
      </c>
      <c r="J1" t="s">
        <v>80</v>
      </c>
      <c r="K1" t="s">
        <v>1</v>
      </c>
      <c r="L1" s="4" t="s">
        <v>5</v>
      </c>
      <c r="M1" t="s">
        <v>115</v>
      </c>
      <c r="N1" s="2" t="s">
        <v>116</v>
      </c>
      <c r="O1" t="s">
        <v>237</v>
      </c>
      <c r="P1" t="s">
        <v>238</v>
      </c>
      <c r="Q1" t="s">
        <v>268</v>
      </c>
      <c r="R1" t="s">
        <v>278</v>
      </c>
      <c r="S1" t="s">
        <v>279</v>
      </c>
      <c r="T1" t="s">
        <v>280</v>
      </c>
      <c r="U1" s="2" t="s">
        <v>117</v>
      </c>
      <c r="V1" s="2" t="s">
        <v>2</v>
      </c>
      <c r="W1" t="s">
        <v>84</v>
      </c>
    </row>
    <row r="2" spans="1:23" x14ac:dyDescent="0.3">
      <c r="A2" t="s">
        <v>199</v>
      </c>
      <c r="B2" t="s">
        <v>233</v>
      </c>
      <c r="C2" t="s">
        <v>232</v>
      </c>
      <c r="D2" t="s">
        <v>4</v>
      </c>
      <c r="E2" t="s">
        <v>62</v>
      </c>
      <c r="F2" t="s">
        <v>63</v>
      </c>
      <c r="K2" t="s">
        <v>6</v>
      </c>
      <c r="L2" s="4">
        <v>10160</v>
      </c>
      <c r="M2" s="5" t="s">
        <v>118</v>
      </c>
      <c r="N2" s="3">
        <v>45500</v>
      </c>
      <c r="O2">
        <f t="shared" ref="O2:O33" si="0">IF(OR(ISBLANK(U2),ISBLANK(N2)),0,U2-N2)</f>
        <v>0</v>
      </c>
      <c r="P2">
        <f t="shared" ref="P2:P33" si="1">IF(OR(ISBLANK(V2),ISBLANK(N2)),0,V2-N2)</f>
        <v>14</v>
      </c>
      <c r="Q2" t="str">
        <f>IF(Table13[[#This Row],[مده التسليم (الفعليه)]]=0, "ملغي", IF(Table13[[#This Row],[مده التسليم (الفعليه)]]&gt;=Table13[[#This Row],[مده التسليم (المحدده)]], "تم في الموعد", "تأخر في التسليم"))</f>
        <v>تم في الموعد</v>
      </c>
      <c r="R2">
        <v>0</v>
      </c>
      <c r="S2">
        <v>14</v>
      </c>
      <c r="T2" t="s">
        <v>270</v>
      </c>
      <c r="U2" s="2"/>
      <c r="V2" s="2">
        <v>45514</v>
      </c>
      <c r="W2" t="s">
        <v>130</v>
      </c>
    </row>
    <row r="3" spans="1:23" hidden="1" x14ac:dyDescent="0.3">
      <c r="A3" t="s">
        <v>119</v>
      </c>
      <c r="B3" t="s">
        <v>233</v>
      </c>
      <c r="C3" t="s">
        <v>255</v>
      </c>
      <c r="D3" t="s">
        <v>4</v>
      </c>
      <c r="E3" t="s">
        <v>62</v>
      </c>
      <c r="F3" t="s">
        <v>63</v>
      </c>
      <c r="K3" t="s">
        <v>7</v>
      </c>
      <c r="L3" s="4">
        <v>10160</v>
      </c>
      <c r="M3" s="5" t="s">
        <v>236</v>
      </c>
      <c r="N3" s="3">
        <v>45501</v>
      </c>
      <c r="O3">
        <f t="shared" si="0"/>
        <v>0</v>
      </c>
      <c r="P3">
        <f t="shared" si="1"/>
        <v>14</v>
      </c>
      <c r="Q3" t="str">
        <f>IF(Table13[[#This Row],[مده التسليم (الفعليه)]]=0, "ملغي", IF(Table13[[#This Row],[مده التسليم (الفعليه)]]&gt;=Table13[[#This Row],[مده التسليم (المحدده)]], "تم في الموعد", "تأخر في التسليم"))</f>
        <v>تم في الموعد</v>
      </c>
      <c r="R3">
        <v>0</v>
      </c>
      <c r="S3">
        <v>14</v>
      </c>
      <c r="T3" t="s">
        <v>270</v>
      </c>
      <c r="U3" s="2"/>
      <c r="V3" s="2">
        <v>45515</v>
      </c>
      <c r="W3" t="s">
        <v>130</v>
      </c>
    </row>
    <row r="4" spans="1:23" hidden="1" x14ac:dyDescent="0.3">
      <c r="A4" t="s">
        <v>120</v>
      </c>
      <c r="B4" t="s">
        <v>233</v>
      </c>
      <c r="C4" t="s">
        <v>256</v>
      </c>
      <c r="D4" t="s">
        <v>4</v>
      </c>
      <c r="E4" t="s">
        <v>62</v>
      </c>
      <c r="F4" t="s">
        <v>70</v>
      </c>
      <c r="G4" t="s">
        <v>121</v>
      </c>
      <c r="H4">
        <v>90</v>
      </c>
      <c r="I4" t="s">
        <v>73</v>
      </c>
      <c r="K4" t="s">
        <v>8</v>
      </c>
      <c r="L4" s="4">
        <v>11455</v>
      </c>
      <c r="M4" s="5" t="s">
        <v>236</v>
      </c>
      <c r="N4" s="3">
        <v>45500</v>
      </c>
      <c r="O4">
        <f t="shared" si="0"/>
        <v>0</v>
      </c>
      <c r="P4">
        <f t="shared" si="1"/>
        <v>0</v>
      </c>
      <c r="Q4" t="str">
        <f>IF(Table13[[#This Row],[مده التسليم (الفعليه)]]=0, "ملغي", IF(Table13[[#This Row],[مده التسليم (الفعليه)]]&gt;=Table13[[#This Row],[مده التسليم (المحدده)]], "تم في الموعد", "تأخر في التسليم"))</f>
        <v>ملغي</v>
      </c>
      <c r="R4">
        <v>0</v>
      </c>
      <c r="S4">
        <v>0</v>
      </c>
      <c r="T4" t="s">
        <v>272</v>
      </c>
      <c r="U4" s="2"/>
      <c r="V4" s="2"/>
      <c r="W4" t="s">
        <v>97</v>
      </c>
    </row>
    <row r="5" spans="1:23" x14ac:dyDescent="0.3">
      <c r="A5" t="s">
        <v>122</v>
      </c>
      <c r="B5" t="s">
        <v>233</v>
      </c>
      <c r="C5" t="s">
        <v>47</v>
      </c>
      <c r="D5" t="s">
        <v>4</v>
      </c>
      <c r="E5" t="s">
        <v>123</v>
      </c>
      <c r="F5" t="s">
        <v>249</v>
      </c>
      <c r="K5" t="s">
        <v>9</v>
      </c>
      <c r="L5" s="4">
        <v>8642</v>
      </c>
      <c r="M5" s="5" t="s">
        <v>118</v>
      </c>
      <c r="N5" s="2">
        <v>45529</v>
      </c>
      <c r="O5">
        <f t="shared" si="0"/>
        <v>13</v>
      </c>
      <c r="P5">
        <f t="shared" si="1"/>
        <v>2</v>
      </c>
      <c r="Q5" t="str">
        <f>IF(Table13[[#This Row],[مده التسليم (الفعليه)]]=0, "ملغي", IF(Table13[[#This Row],[مده التسليم (الفعليه)]]&gt;=Table13[[#This Row],[مده التسليم (المحدده)]], "تم في الموعد", "تأخر في التسليم"))</f>
        <v>تأخر في التسليم</v>
      </c>
      <c r="R5">
        <v>13</v>
      </c>
      <c r="S5">
        <v>2</v>
      </c>
      <c r="T5" t="s">
        <v>269</v>
      </c>
      <c r="U5" s="2">
        <v>45542</v>
      </c>
      <c r="V5" s="2">
        <v>45531</v>
      </c>
      <c r="W5" t="s">
        <v>130</v>
      </c>
    </row>
    <row r="6" spans="1:23" hidden="1" x14ac:dyDescent="0.3">
      <c r="A6" t="s">
        <v>200</v>
      </c>
      <c r="B6" t="s">
        <v>233</v>
      </c>
      <c r="C6" t="s">
        <v>256</v>
      </c>
      <c r="D6" t="s">
        <v>4</v>
      </c>
      <c r="E6" t="s">
        <v>62</v>
      </c>
      <c r="F6" t="s">
        <v>70</v>
      </c>
      <c r="G6" t="s">
        <v>124</v>
      </c>
      <c r="H6">
        <v>100</v>
      </c>
      <c r="I6" t="s">
        <v>75</v>
      </c>
      <c r="K6" t="s">
        <v>10</v>
      </c>
      <c r="L6" s="4">
        <v>12833</v>
      </c>
      <c r="M6" s="5" t="s">
        <v>236</v>
      </c>
      <c r="N6" s="2">
        <v>45520</v>
      </c>
      <c r="O6">
        <f t="shared" si="0"/>
        <v>15</v>
      </c>
      <c r="P6">
        <f t="shared" si="1"/>
        <v>0</v>
      </c>
      <c r="Q6" t="str">
        <f>IF(Table13[[#This Row],[مده التسليم (الفعليه)]]=0, "ملغي", IF(Table13[[#This Row],[مده التسليم (الفعليه)]]&gt;=Table13[[#This Row],[مده التسليم (المحدده)]], "تم في الموعد", "تأخر في التسليم"))</f>
        <v>ملغي</v>
      </c>
      <c r="R6">
        <v>15</v>
      </c>
      <c r="S6">
        <v>0</v>
      </c>
      <c r="T6" t="s">
        <v>272</v>
      </c>
      <c r="U6" s="2">
        <v>45535</v>
      </c>
      <c r="V6" s="2"/>
      <c r="W6" t="s">
        <v>97</v>
      </c>
    </row>
    <row r="7" spans="1:23" x14ac:dyDescent="0.3">
      <c r="A7" t="s">
        <v>20</v>
      </c>
      <c r="B7" t="s">
        <v>234</v>
      </c>
      <c r="C7" t="s">
        <v>249</v>
      </c>
      <c r="D7" t="s">
        <v>20</v>
      </c>
      <c r="E7" t="s">
        <v>85</v>
      </c>
      <c r="F7" t="s">
        <v>69</v>
      </c>
      <c r="K7" t="s">
        <v>11</v>
      </c>
      <c r="L7" s="4">
        <v>14550</v>
      </c>
      <c r="M7" s="5" t="s">
        <v>118</v>
      </c>
      <c r="N7" s="2">
        <v>45518</v>
      </c>
      <c r="O7">
        <f t="shared" si="0"/>
        <v>20</v>
      </c>
      <c r="P7">
        <f t="shared" si="1"/>
        <v>22</v>
      </c>
      <c r="Q7" t="str">
        <f>IF(Table13[[#This Row],[مده التسليم (الفعليه)]]=0, "ملغي", IF(Table13[[#This Row],[مده التسليم (الفعليه)]]&gt;=Table13[[#This Row],[مده التسليم (المحدده)]], "تم في الموعد", "تأخر في التسليم"))</f>
        <v>تم في الموعد</v>
      </c>
      <c r="R7">
        <v>20</v>
      </c>
      <c r="S7">
        <v>22</v>
      </c>
      <c r="T7" t="s">
        <v>270</v>
      </c>
      <c r="U7" s="2">
        <v>45538</v>
      </c>
      <c r="V7" s="2">
        <v>45540</v>
      </c>
      <c r="W7" t="s">
        <v>130</v>
      </c>
    </row>
    <row r="8" spans="1:23" hidden="1" x14ac:dyDescent="0.3">
      <c r="A8" t="s">
        <v>201</v>
      </c>
      <c r="B8" t="s">
        <v>233</v>
      </c>
      <c r="C8" t="s">
        <v>112</v>
      </c>
      <c r="D8" t="s">
        <v>125</v>
      </c>
      <c r="E8" t="s">
        <v>85</v>
      </c>
      <c r="F8" t="s">
        <v>69</v>
      </c>
      <c r="K8" t="s">
        <v>11</v>
      </c>
      <c r="L8" s="4">
        <v>12000</v>
      </c>
      <c r="M8" s="5" t="s">
        <v>236</v>
      </c>
      <c r="N8" s="2">
        <v>45521</v>
      </c>
      <c r="O8">
        <f t="shared" si="0"/>
        <v>3</v>
      </c>
      <c r="P8">
        <f t="shared" si="1"/>
        <v>2</v>
      </c>
      <c r="Q8" t="str">
        <f>IF(Table13[[#This Row],[مده التسليم (الفعليه)]]=0, "ملغي", IF(Table13[[#This Row],[مده التسليم (الفعليه)]]&gt;=Table13[[#This Row],[مده التسليم (المحدده)]], "تم في الموعد", "تأخر في التسليم"))</f>
        <v>تأخر في التسليم</v>
      </c>
      <c r="R8">
        <v>3</v>
      </c>
      <c r="S8">
        <v>2</v>
      </c>
      <c r="T8" t="s">
        <v>269</v>
      </c>
      <c r="U8" s="2">
        <v>45524</v>
      </c>
      <c r="V8" s="2">
        <v>45523</v>
      </c>
      <c r="W8" t="s">
        <v>130</v>
      </c>
    </row>
    <row r="9" spans="1:23" x14ac:dyDescent="0.3">
      <c r="A9" t="s">
        <v>126</v>
      </c>
      <c r="B9" t="s">
        <v>233</v>
      </c>
      <c r="C9" t="s">
        <v>232</v>
      </c>
      <c r="D9" t="s">
        <v>4</v>
      </c>
      <c r="E9" t="s">
        <v>62</v>
      </c>
      <c r="F9" t="s">
        <v>64</v>
      </c>
      <c r="K9" t="s">
        <v>12</v>
      </c>
      <c r="L9" s="4">
        <v>7228</v>
      </c>
      <c r="M9" s="5" t="s">
        <v>118</v>
      </c>
      <c r="N9" s="2">
        <v>45529</v>
      </c>
      <c r="O9">
        <f t="shared" si="0"/>
        <v>9</v>
      </c>
      <c r="P9">
        <f t="shared" si="1"/>
        <v>16</v>
      </c>
      <c r="Q9" t="str">
        <f>IF(Table13[[#This Row],[مده التسليم (الفعليه)]]=0, "ملغي", IF(Table13[[#This Row],[مده التسليم (الفعليه)]]&gt;=Table13[[#This Row],[مده التسليم (المحدده)]], "تم في الموعد", "تأخر في التسليم"))</f>
        <v>تم في الموعد</v>
      </c>
      <c r="R9">
        <v>9</v>
      </c>
      <c r="S9">
        <v>16</v>
      </c>
      <c r="T9" t="s">
        <v>270</v>
      </c>
      <c r="U9" s="2">
        <v>45538</v>
      </c>
      <c r="V9" s="2">
        <v>45545</v>
      </c>
      <c r="W9" t="s">
        <v>130</v>
      </c>
    </row>
    <row r="10" spans="1:23" hidden="1" x14ac:dyDescent="0.3">
      <c r="A10" t="s">
        <v>14</v>
      </c>
      <c r="B10" t="s">
        <v>234</v>
      </c>
      <c r="C10" t="s">
        <v>13</v>
      </c>
      <c r="D10" t="s">
        <v>14</v>
      </c>
      <c r="E10" t="s">
        <v>65</v>
      </c>
      <c r="F10" t="s">
        <v>67</v>
      </c>
      <c r="K10" t="s">
        <v>15</v>
      </c>
      <c r="L10" s="4">
        <v>22000</v>
      </c>
      <c r="M10" s="5" t="s">
        <v>236</v>
      </c>
      <c r="N10" s="2">
        <v>45523</v>
      </c>
      <c r="O10">
        <f t="shared" si="0"/>
        <v>13</v>
      </c>
      <c r="P10">
        <f t="shared" si="1"/>
        <v>29</v>
      </c>
      <c r="Q10" t="str">
        <f>IF(Table13[[#This Row],[مده التسليم (الفعليه)]]=0, "ملغي", IF(Table13[[#This Row],[مده التسليم (الفعليه)]]&gt;=Table13[[#This Row],[مده التسليم (المحدده)]], "تم في الموعد", "تأخر في التسليم"))</f>
        <v>تم في الموعد</v>
      </c>
      <c r="R10">
        <v>13</v>
      </c>
      <c r="S10">
        <v>29</v>
      </c>
      <c r="T10" t="s">
        <v>270</v>
      </c>
      <c r="U10" s="2">
        <v>45536</v>
      </c>
      <c r="V10" s="2">
        <v>45552</v>
      </c>
      <c r="W10" t="s">
        <v>130</v>
      </c>
    </row>
    <row r="11" spans="1:23" hidden="1" x14ac:dyDescent="0.3">
      <c r="A11" t="s">
        <v>14</v>
      </c>
      <c r="B11" t="s">
        <v>234</v>
      </c>
      <c r="C11" t="s">
        <v>13</v>
      </c>
      <c r="D11" t="s">
        <v>14</v>
      </c>
      <c r="E11" t="s">
        <v>85</v>
      </c>
      <c r="F11" t="s">
        <v>66</v>
      </c>
      <c r="K11" t="s">
        <v>16</v>
      </c>
      <c r="L11" s="4">
        <v>16000</v>
      </c>
      <c r="M11" s="5" t="s">
        <v>236</v>
      </c>
      <c r="O11">
        <f t="shared" si="0"/>
        <v>0</v>
      </c>
      <c r="P11">
        <f t="shared" si="1"/>
        <v>0</v>
      </c>
      <c r="Q11" t="str">
        <f>IF(Table13[[#This Row],[مده التسليم (الفعليه)]]=0, "ملغي", IF(Table13[[#This Row],[مده التسليم (الفعليه)]]&gt;=Table13[[#This Row],[مده التسليم (المحدده)]], "تم في الموعد", "تأخر في التسليم"))</f>
        <v>ملغي</v>
      </c>
      <c r="R11">
        <v>0</v>
      </c>
      <c r="S11">
        <v>0</v>
      </c>
      <c r="T11" t="s">
        <v>272</v>
      </c>
      <c r="U11" s="2"/>
      <c r="V11" s="2"/>
      <c r="W11" t="s">
        <v>97</v>
      </c>
    </row>
    <row r="12" spans="1:23" hidden="1" x14ac:dyDescent="0.3">
      <c r="A12" t="s">
        <v>14</v>
      </c>
      <c r="B12" t="s">
        <v>234</v>
      </c>
      <c r="C12" t="s">
        <v>13</v>
      </c>
      <c r="D12" t="s">
        <v>14</v>
      </c>
      <c r="E12" t="s">
        <v>85</v>
      </c>
      <c r="F12" t="s">
        <v>66</v>
      </c>
      <c r="K12" t="s">
        <v>17</v>
      </c>
      <c r="L12" s="4">
        <v>6000</v>
      </c>
      <c r="M12" s="5" t="s">
        <v>236</v>
      </c>
      <c r="N12" s="2">
        <v>45529</v>
      </c>
      <c r="O12">
        <f t="shared" si="0"/>
        <v>21</v>
      </c>
      <c r="P12">
        <f t="shared" si="1"/>
        <v>23</v>
      </c>
      <c r="Q12" t="str">
        <f>IF(Table13[[#This Row],[مده التسليم (الفعليه)]]=0, "ملغي", IF(Table13[[#This Row],[مده التسليم (الفعليه)]]&gt;=Table13[[#This Row],[مده التسليم (المحدده)]], "تم في الموعد", "تأخر في التسليم"))</f>
        <v>تم في الموعد</v>
      </c>
      <c r="R12">
        <v>21</v>
      </c>
      <c r="S12">
        <v>23</v>
      </c>
      <c r="T12" t="s">
        <v>270</v>
      </c>
      <c r="U12" s="2">
        <v>45550</v>
      </c>
      <c r="V12" s="2">
        <v>45552</v>
      </c>
      <c r="W12" t="s">
        <v>130</v>
      </c>
    </row>
    <row r="13" spans="1:23" hidden="1" x14ac:dyDescent="0.3">
      <c r="A13" t="s">
        <v>14</v>
      </c>
      <c r="B13" t="s">
        <v>234</v>
      </c>
      <c r="C13" t="s">
        <v>13</v>
      </c>
      <c r="D13" t="s">
        <v>14</v>
      </c>
      <c r="E13" t="s">
        <v>85</v>
      </c>
      <c r="F13" t="s">
        <v>66</v>
      </c>
      <c r="K13" t="s">
        <v>17</v>
      </c>
      <c r="L13" s="4">
        <v>6000</v>
      </c>
      <c r="M13" s="5" t="s">
        <v>236</v>
      </c>
      <c r="N13" s="2">
        <v>45529</v>
      </c>
      <c r="O13">
        <f t="shared" si="0"/>
        <v>21</v>
      </c>
      <c r="P13">
        <f t="shared" si="1"/>
        <v>23</v>
      </c>
      <c r="Q13" t="str">
        <f>IF(Table13[[#This Row],[مده التسليم (الفعليه)]]=0, "ملغي", IF(Table13[[#This Row],[مده التسليم (الفعليه)]]&gt;=Table13[[#This Row],[مده التسليم (المحدده)]], "تم في الموعد", "تأخر في التسليم"))</f>
        <v>تم في الموعد</v>
      </c>
      <c r="R13">
        <v>21</v>
      </c>
      <c r="S13">
        <v>23</v>
      </c>
      <c r="T13" t="s">
        <v>270</v>
      </c>
      <c r="U13" s="2">
        <v>45550</v>
      </c>
      <c r="V13" s="2">
        <v>45552</v>
      </c>
      <c r="W13" t="s">
        <v>130</v>
      </c>
    </row>
    <row r="14" spans="1:23" hidden="1" x14ac:dyDescent="0.3">
      <c r="A14" t="s">
        <v>202</v>
      </c>
      <c r="B14" t="s">
        <v>233</v>
      </c>
      <c r="C14" t="s">
        <v>257</v>
      </c>
      <c r="D14" t="s">
        <v>4</v>
      </c>
      <c r="E14" t="s">
        <v>62</v>
      </c>
      <c r="F14" t="s">
        <v>70</v>
      </c>
      <c r="G14" t="s">
        <v>124</v>
      </c>
      <c r="H14">
        <v>80</v>
      </c>
      <c r="I14" t="s">
        <v>71</v>
      </c>
      <c r="K14" t="s">
        <v>18</v>
      </c>
      <c r="L14" s="4">
        <v>10499</v>
      </c>
      <c r="M14" s="5" t="s">
        <v>236</v>
      </c>
      <c r="N14" s="2">
        <v>45536</v>
      </c>
      <c r="O14">
        <f t="shared" si="0"/>
        <v>15</v>
      </c>
      <c r="P14">
        <f t="shared" si="1"/>
        <v>7</v>
      </c>
      <c r="Q14" t="str">
        <f>IF(Table13[[#This Row],[مده التسليم (الفعليه)]]=0, "ملغي", IF(Table13[[#This Row],[مده التسليم (الفعليه)]]&gt;=Table13[[#This Row],[مده التسليم (المحدده)]], "تم في الموعد", "تأخر في التسليم"))</f>
        <v>تأخر في التسليم</v>
      </c>
      <c r="R14">
        <v>15</v>
      </c>
      <c r="S14">
        <v>7</v>
      </c>
      <c r="T14" t="s">
        <v>269</v>
      </c>
      <c r="U14" s="2">
        <v>45551</v>
      </c>
      <c r="V14" s="2">
        <v>45543</v>
      </c>
      <c r="W14" t="s">
        <v>130</v>
      </c>
    </row>
    <row r="15" spans="1:23" hidden="1" x14ac:dyDescent="0.3">
      <c r="A15" t="s">
        <v>203</v>
      </c>
      <c r="B15" t="s">
        <v>233</v>
      </c>
      <c r="C15" t="s">
        <v>232</v>
      </c>
      <c r="D15" t="s">
        <v>4</v>
      </c>
      <c r="E15" t="s">
        <v>62</v>
      </c>
      <c r="F15" t="s">
        <v>64</v>
      </c>
      <c r="G15" t="s">
        <v>124</v>
      </c>
      <c r="H15">
        <v>80</v>
      </c>
      <c r="I15" t="s">
        <v>71</v>
      </c>
      <c r="K15" t="s">
        <v>26</v>
      </c>
      <c r="L15" s="4">
        <v>7295</v>
      </c>
      <c r="M15" s="5" t="s">
        <v>236</v>
      </c>
      <c r="N15" s="2">
        <v>45540</v>
      </c>
      <c r="O15">
        <f t="shared" si="0"/>
        <v>9</v>
      </c>
      <c r="P15">
        <f t="shared" si="1"/>
        <v>0</v>
      </c>
      <c r="Q15" t="str">
        <f>IF(Table13[[#This Row],[مده التسليم (الفعليه)]]=0, "ملغي", IF(Table13[[#This Row],[مده التسليم (الفعليه)]]&gt;=Table13[[#This Row],[مده التسليم (المحدده)]], "تم في الموعد", "تأخر في التسليم"))</f>
        <v>ملغي</v>
      </c>
      <c r="R15">
        <v>9</v>
      </c>
      <c r="S15">
        <v>0</v>
      </c>
      <c r="T15" t="s">
        <v>272</v>
      </c>
      <c r="U15" s="2">
        <v>45549</v>
      </c>
      <c r="V15" s="2"/>
      <c r="W15" t="s">
        <v>97</v>
      </c>
    </row>
    <row r="16" spans="1:23" x14ac:dyDescent="0.3">
      <c r="A16" t="s">
        <v>204</v>
      </c>
      <c r="B16" t="s">
        <v>233</v>
      </c>
      <c r="C16" t="s">
        <v>258</v>
      </c>
      <c r="D16" t="s">
        <v>4</v>
      </c>
      <c r="E16" t="s">
        <v>123</v>
      </c>
      <c r="F16" t="s">
        <v>81</v>
      </c>
      <c r="K16" t="s">
        <v>24</v>
      </c>
      <c r="L16" s="4">
        <v>7849</v>
      </c>
      <c r="M16" s="5" t="s">
        <v>118</v>
      </c>
      <c r="N16" s="2">
        <v>45539</v>
      </c>
      <c r="O16">
        <f t="shared" si="0"/>
        <v>12</v>
      </c>
      <c r="P16">
        <f t="shared" si="1"/>
        <v>21</v>
      </c>
      <c r="Q16" t="str">
        <f>IF(Table13[[#This Row],[مده التسليم (الفعليه)]]=0, "ملغي", IF(Table13[[#This Row],[مده التسليم (الفعليه)]]&gt;=Table13[[#This Row],[مده التسليم (المحدده)]], "تم في الموعد", "تأخر في التسليم"))</f>
        <v>تم في الموعد</v>
      </c>
      <c r="R16">
        <v>12</v>
      </c>
      <c r="S16">
        <v>21</v>
      </c>
      <c r="T16" t="s">
        <v>270</v>
      </c>
      <c r="U16" s="2">
        <v>45551</v>
      </c>
      <c r="V16" s="2">
        <v>45560</v>
      </c>
      <c r="W16" t="s">
        <v>97</v>
      </c>
    </row>
    <row r="17" spans="1:23" hidden="1" x14ac:dyDescent="0.3">
      <c r="A17" t="s">
        <v>205</v>
      </c>
      <c r="B17" t="s">
        <v>233</v>
      </c>
      <c r="C17" t="s">
        <v>112</v>
      </c>
      <c r="D17" t="s">
        <v>250</v>
      </c>
      <c r="E17" t="s">
        <v>62</v>
      </c>
      <c r="F17" t="s">
        <v>70</v>
      </c>
      <c r="G17" t="s">
        <v>121</v>
      </c>
      <c r="H17">
        <v>120</v>
      </c>
      <c r="I17" t="s">
        <v>72</v>
      </c>
      <c r="K17" t="s">
        <v>22</v>
      </c>
      <c r="L17" s="4">
        <v>6180</v>
      </c>
      <c r="M17" s="5" t="s">
        <v>236</v>
      </c>
      <c r="N17" s="2">
        <v>45538</v>
      </c>
      <c r="O17">
        <f t="shared" si="0"/>
        <v>13</v>
      </c>
      <c r="P17">
        <f t="shared" si="1"/>
        <v>12</v>
      </c>
      <c r="Q17" t="str">
        <f>IF(Table13[[#This Row],[مده التسليم (الفعليه)]]=0, "ملغي", IF(Table13[[#This Row],[مده التسليم (الفعليه)]]&gt;=Table13[[#This Row],[مده التسليم (المحدده)]], "تم في الموعد", "تأخر في التسليم"))</f>
        <v>تأخر في التسليم</v>
      </c>
      <c r="R17">
        <v>13</v>
      </c>
      <c r="S17">
        <v>12</v>
      </c>
      <c r="T17" t="s">
        <v>269</v>
      </c>
      <c r="U17" s="2">
        <v>45551</v>
      </c>
      <c r="V17" s="2">
        <v>45550</v>
      </c>
      <c r="W17" t="s">
        <v>130</v>
      </c>
    </row>
    <row r="18" spans="1:23" hidden="1" x14ac:dyDescent="0.3">
      <c r="A18" t="s">
        <v>205</v>
      </c>
      <c r="B18" t="s">
        <v>233</v>
      </c>
      <c r="C18" t="s">
        <v>112</v>
      </c>
      <c r="D18" t="s">
        <v>250</v>
      </c>
      <c r="E18" t="s">
        <v>62</v>
      </c>
      <c r="F18" t="s">
        <v>70</v>
      </c>
      <c r="G18" t="s">
        <v>121</v>
      </c>
      <c r="H18">
        <v>120</v>
      </c>
      <c r="I18" t="s">
        <v>72</v>
      </c>
      <c r="K18" t="s">
        <v>22</v>
      </c>
      <c r="L18" s="4">
        <v>6180</v>
      </c>
      <c r="M18" s="5" t="s">
        <v>236</v>
      </c>
      <c r="N18" s="2">
        <v>45538</v>
      </c>
      <c r="O18">
        <f t="shared" si="0"/>
        <v>13</v>
      </c>
      <c r="P18">
        <f t="shared" si="1"/>
        <v>12</v>
      </c>
      <c r="Q18" t="str">
        <f>IF(Table13[[#This Row],[مده التسليم (الفعليه)]]=0, "ملغي", IF(Table13[[#This Row],[مده التسليم (الفعليه)]]&gt;=Table13[[#This Row],[مده التسليم (المحدده)]], "تم في الموعد", "تأخر في التسليم"))</f>
        <v>تأخر في التسليم</v>
      </c>
      <c r="R18">
        <v>13</v>
      </c>
      <c r="S18">
        <v>12</v>
      </c>
      <c r="T18" t="s">
        <v>269</v>
      </c>
      <c r="U18" s="2">
        <v>45551</v>
      </c>
      <c r="V18" s="2">
        <v>45550</v>
      </c>
      <c r="W18" t="s">
        <v>130</v>
      </c>
    </row>
    <row r="19" spans="1:23" hidden="1" x14ac:dyDescent="0.3">
      <c r="A19" t="s">
        <v>127</v>
      </c>
      <c r="B19" t="s">
        <v>233</v>
      </c>
      <c r="C19" t="s">
        <v>257</v>
      </c>
      <c r="D19" t="s">
        <v>4</v>
      </c>
      <c r="E19" t="s">
        <v>62</v>
      </c>
      <c r="F19" t="s">
        <v>70</v>
      </c>
      <c r="G19" t="s">
        <v>128</v>
      </c>
      <c r="H19">
        <v>80</v>
      </c>
      <c r="I19" t="s">
        <v>71</v>
      </c>
      <c r="K19" t="s">
        <v>23</v>
      </c>
      <c r="L19" s="4">
        <v>11199</v>
      </c>
      <c r="M19" s="5" t="s">
        <v>236</v>
      </c>
      <c r="N19" s="2">
        <v>45539</v>
      </c>
      <c r="O19">
        <f t="shared" si="0"/>
        <v>14</v>
      </c>
      <c r="P19">
        <f t="shared" si="1"/>
        <v>0</v>
      </c>
      <c r="Q19" t="str">
        <f>IF(Table13[[#This Row],[مده التسليم (الفعليه)]]=0, "ملغي", IF(Table13[[#This Row],[مده التسليم (الفعليه)]]&gt;=Table13[[#This Row],[مده التسليم (المحدده)]], "تم في الموعد", "تأخر في التسليم"))</f>
        <v>ملغي</v>
      </c>
      <c r="R19">
        <v>14</v>
      </c>
      <c r="S19">
        <v>0</v>
      </c>
      <c r="T19" t="s">
        <v>272</v>
      </c>
      <c r="U19" s="2">
        <v>45553</v>
      </c>
      <c r="V19" s="2"/>
      <c r="W19" t="s">
        <v>97</v>
      </c>
    </row>
    <row r="20" spans="1:23" x14ac:dyDescent="0.3">
      <c r="A20" t="s">
        <v>201</v>
      </c>
      <c r="B20" t="s">
        <v>233</v>
      </c>
      <c r="C20" t="s">
        <v>27</v>
      </c>
      <c r="D20" t="s">
        <v>4</v>
      </c>
      <c r="E20" t="s">
        <v>62</v>
      </c>
      <c r="F20" t="s">
        <v>64</v>
      </c>
      <c r="G20" t="s">
        <v>129</v>
      </c>
      <c r="H20">
        <v>80</v>
      </c>
      <c r="I20" t="s">
        <v>71</v>
      </c>
      <c r="K20" t="s">
        <v>28</v>
      </c>
      <c r="L20" s="4">
        <v>7987</v>
      </c>
      <c r="M20" s="5" t="s">
        <v>118</v>
      </c>
      <c r="N20" s="2">
        <v>45541</v>
      </c>
      <c r="O20">
        <f t="shared" si="0"/>
        <v>10</v>
      </c>
      <c r="P20">
        <f t="shared" si="1"/>
        <v>15</v>
      </c>
      <c r="Q20" t="str">
        <f>IF(Table13[[#This Row],[مده التسليم (الفعليه)]]=0, "ملغي", IF(Table13[[#This Row],[مده التسليم (الفعليه)]]&gt;=Table13[[#This Row],[مده التسليم (المحدده)]], "تم في الموعد", "تأخر في التسليم"))</f>
        <v>تم في الموعد</v>
      </c>
      <c r="R20">
        <v>10</v>
      </c>
      <c r="S20">
        <v>15</v>
      </c>
      <c r="T20" t="s">
        <v>270</v>
      </c>
      <c r="U20" s="2">
        <v>45551</v>
      </c>
      <c r="V20" s="2">
        <v>45556</v>
      </c>
      <c r="W20" t="s">
        <v>130</v>
      </c>
    </row>
    <row r="21" spans="1:23" hidden="1" x14ac:dyDescent="0.3">
      <c r="A21" t="s">
        <v>14</v>
      </c>
      <c r="B21" t="s">
        <v>234</v>
      </c>
      <c r="C21" t="s">
        <v>13</v>
      </c>
      <c r="D21" t="s">
        <v>14</v>
      </c>
      <c r="E21" t="s">
        <v>68</v>
      </c>
      <c r="F21" t="s">
        <v>131</v>
      </c>
      <c r="K21" t="s">
        <v>25</v>
      </c>
      <c r="L21" s="4">
        <v>9300</v>
      </c>
      <c r="M21" s="5" t="s">
        <v>236</v>
      </c>
      <c r="N21" s="2">
        <v>45539</v>
      </c>
      <c r="O21">
        <f t="shared" si="0"/>
        <v>11</v>
      </c>
      <c r="P21">
        <f t="shared" si="1"/>
        <v>13</v>
      </c>
      <c r="Q21" t="str">
        <f>IF(Table13[[#This Row],[مده التسليم (الفعليه)]]=0, "ملغي", IF(Table13[[#This Row],[مده التسليم (الفعليه)]]&gt;=Table13[[#This Row],[مده التسليم (المحدده)]], "تم في الموعد", "تأخر في التسليم"))</f>
        <v>تم في الموعد</v>
      </c>
      <c r="R21">
        <v>11</v>
      </c>
      <c r="S21">
        <v>13</v>
      </c>
      <c r="T21" t="s">
        <v>270</v>
      </c>
      <c r="U21" s="2">
        <v>45550</v>
      </c>
      <c r="V21" s="2">
        <v>45552</v>
      </c>
      <c r="W21" t="s">
        <v>130</v>
      </c>
    </row>
    <row r="22" spans="1:23" x14ac:dyDescent="0.3">
      <c r="A22" t="s">
        <v>201</v>
      </c>
      <c r="B22" t="s">
        <v>233</v>
      </c>
      <c r="C22" t="s">
        <v>27</v>
      </c>
      <c r="D22" t="s">
        <v>4</v>
      </c>
      <c r="E22" t="s">
        <v>62</v>
      </c>
      <c r="F22" t="s">
        <v>64</v>
      </c>
      <c r="G22" t="s">
        <v>129</v>
      </c>
      <c r="H22">
        <v>80</v>
      </c>
      <c r="I22" t="s">
        <v>71</v>
      </c>
      <c r="K22" t="s">
        <v>28</v>
      </c>
      <c r="L22" s="4">
        <v>7987</v>
      </c>
      <c r="M22" s="5" t="s">
        <v>118</v>
      </c>
      <c r="N22" s="2">
        <v>45541</v>
      </c>
      <c r="O22">
        <f t="shared" si="0"/>
        <v>10</v>
      </c>
      <c r="P22">
        <f t="shared" si="1"/>
        <v>15</v>
      </c>
      <c r="Q22" t="str">
        <f>IF(Table13[[#This Row],[مده التسليم (الفعليه)]]=0, "ملغي", IF(Table13[[#This Row],[مده التسليم (الفعليه)]]&gt;=Table13[[#This Row],[مده التسليم (المحدده)]], "تم في الموعد", "تأخر في التسليم"))</f>
        <v>تم في الموعد</v>
      </c>
      <c r="R22">
        <v>10</v>
      </c>
      <c r="S22">
        <v>15</v>
      </c>
      <c r="T22" t="s">
        <v>270</v>
      </c>
      <c r="U22" s="2">
        <v>45551</v>
      </c>
      <c r="V22" s="2">
        <v>45556</v>
      </c>
      <c r="W22" t="s">
        <v>130</v>
      </c>
    </row>
    <row r="23" spans="1:23" x14ac:dyDescent="0.3">
      <c r="A23" t="s">
        <v>201</v>
      </c>
      <c r="B23" t="s">
        <v>233</v>
      </c>
      <c r="C23" t="s">
        <v>27</v>
      </c>
      <c r="D23" t="s">
        <v>4</v>
      </c>
      <c r="E23" t="s">
        <v>62</v>
      </c>
      <c r="F23" t="s">
        <v>64</v>
      </c>
      <c r="G23" t="s">
        <v>129</v>
      </c>
      <c r="H23">
        <v>80</v>
      </c>
      <c r="I23" t="s">
        <v>71</v>
      </c>
      <c r="K23" t="s">
        <v>28</v>
      </c>
      <c r="L23" s="4">
        <v>7987</v>
      </c>
      <c r="M23" s="5" t="s">
        <v>118</v>
      </c>
      <c r="N23" s="2">
        <v>45541</v>
      </c>
      <c r="O23">
        <f t="shared" si="0"/>
        <v>10</v>
      </c>
      <c r="P23">
        <f t="shared" si="1"/>
        <v>15</v>
      </c>
      <c r="Q23" t="str">
        <f>IF(Table13[[#This Row],[مده التسليم (الفعليه)]]=0, "ملغي", IF(Table13[[#This Row],[مده التسليم (الفعليه)]]&gt;=Table13[[#This Row],[مده التسليم (المحدده)]], "تم في الموعد", "تأخر في التسليم"))</f>
        <v>تم في الموعد</v>
      </c>
      <c r="R23">
        <v>10</v>
      </c>
      <c r="S23">
        <v>15</v>
      </c>
      <c r="T23" t="s">
        <v>270</v>
      </c>
      <c r="U23" s="2">
        <v>45551</v>
      </c>
      <c r="V23" s="2">
        <v>45556</v>
      </c>
      <c r="W23" t="s">
        <v>130</v>
      </c>
    </row>
    <row r="24" spans="1:23" x14ac:dyDescent="0.3">
      <c r="A24" t="s">
        <v>201</v>
      </c>
      <c r="B24" t="s">
        <v>233</v>
      </c>
      <c r="C24" t="s">
        <v>27</v>
      </c>
      <c r="D24" t="s">
        <v>4</v>
      </c>
      <c r="E24" t="s">
        <v>62</v>
      </c>
      <c r="F24" t="s">
        <v>64</v>
      </c>
      <c r="G24" t="s">
        <v>129</v>
      </c>
      <c r="H24">
        <v>80</v>
      </c>
      <c r="I24" t="s">
        <v>71</v>
      </c>
      <c r="K24" t="s">
        <v>28</v>
      </c>
      <c r="L24" s="4">
        <v>7987</v>
      </c>
      <c r="M24" s="5" t="s">
        <v>118</v>
      </c>
      <c r="N24" s="2">
        <v>45541</v>
      </c>
      <c r="O24">
        <f t="shared" si="0"/>
        <v>10</v>
      </c>
      <c r="P24">
        <f t="shared" si="1"/>
        <v>15</v>
      </c>
      <c r="Q24" t="str">
        <f>IF(Table13[[#This Row],[مده التسليم (الفعليه)]]=0, "ملغي", IF(Table13[[#This Row],[مده التسليم (الفعليه)]]&gt;=Table13[[#This Row],[مده التسليم (المحدده)]], "تم في الموعد", "تأخر في التسليم"))</f>
        <v>تم في الموعد</v>
      </c>
      <c r="R24">
        <v>10</v>
      </c>
      <c r="S24">
        <v>15</v>
      </c>
      <c r="T24" t="s">
        <v>270</v>
      </c>
      <c r="U24" s="2">
        <v>45551</v>
      </c>
      <c r="V24" s="2">
        <v>45556</v>
      </c>
      <c r="W24" t="s">
        <v>130</v>
      </c>
    </row>
    <row r="25" spans="1:23" x14ac:dyDescent="0.3">
      <c r="A25" t="s">
        <v>132</v>
      </c>
      <c r="B25" t="s">
        <v>233</v>
      </c>
      <c r="C25" t="s">
        <v>44</v>
      </c>
      <c r="D25" t="s">
        <v>4</v>
      </c>
      <c r="E25" t="s">
        <v>123</v>
      </c>
      <c r="F25" t="s">
        <v>81</v>
      </c>
      <c r="K25" t="s">
        <v>24</v>
      </c>
      <c r="L25" s="4">
        <v>8849</v>
      </c>
      <c r="M25" s="5" t="s">
        <v>118</v>
      </c>
      <c r="N25" s="2">
        <v>45538</v>
      </c>
      <c r="O25">
        <f t="shared" si="0"/>
        <v>43</v>
      </c>
      <c r="P25">
        <f t="shared" si="1"/>
        <v>0</v>
      </c>
      <c r="Q25" t="str">
        <f>IF(Table13[[#This Row],[مده التسليم (الفعليه)]]=0, "ملغي", IF(Table13[[#This Row],[مده التسليم (الفعليه)]]&gt;=Table13[[#This Row],[مده التسليم (المحدده)]], "تم في الموعد", "تأخر في التسليم"))</f>
        <v>ملغي</v>
      </c>
      <c r="R25">
        <v>43</v>
      </c>
      <c r="S25">
        <v>0</v>
      </c>
      <c r="T25" t="s">
        <v>272</v>
      </c>
      <c r="U25" s="2">
        <v>45581</v>
      </c>
      <c r="V25" s="2"/>
      <c r="W25" t="s">
        <v>97</v>
      </c>
    </row>
    <row r="26" spans="1:23" x14ac:dyDescent="0.3">
      <c r="A26" t="s">
        <v>133</v>
      </c>
      <c r="B26" t="s">
        <v>233</v>
      </c>
      <c r="C26" t="s">
        <v>232</v>
      </c>
      <c r="D26" t="s">
        <v>4</v>
      </c>
      <c r="E26" t="s">
        <v>62</v>
      </c>
      <c r="F26" t="s">
        <v>64</v>
      </c>
      <c r="G26" t="s">
        <v>134</v>
      </c>
      <c r="H26">
        <v>120</v>
      </c>
      <c r="I26" t="s">
        <v>71</v>
      </c>
      <c r="K26" t="s">
        <v>29</v>
      </c>
      <c r="L26" s="4">
        <v>10987</v>
      </c>
      <c r="M26" s="5" t="s">
        <v>118</v>
      </c>
      <c r="N26" s="2">
        <v>45544</v>
      </c>
      <c r="O26">
        <f t="shared" si="0"/>
        <v>8</v>
      </c>
      <c r="P26">
        <f t="shared" si="1"/>
        <v>12</v>
      </c>
      <c r="Q26" t="str">
        <f>IF(Table13[[#This Row],[مده التسليم (الفعليه)]]=0, "ملغي", IF(Table13[[#This Row],[مده التسليم (الفعليه)]]&gt;=Table13[[#This Row],[مده التسليم (المحدده)]], "تم في الموعد", "تأخر في التسليم"))</f>
        <v>تم في الموعد</v>
      </c>
      <c r="R26">
        <v>8</v>
      </c>
      <c r="S26">
        <v>12</v>
      </c>
      <c r="T26" t="s">
        <v>270</v>
      </c>
      <c r="U26" s="2">
        <v>45552</v>
      </c>
      <c r="V26" s="2">
        <v>45556</v>
      </c>
      <c r="W26" t="s">
        <v>130</v>
      </c>
    </row>
    <row r="27" spans="1:23" hidden="1" x14ac:dyDescent="0.3">
      <c r="A27" t="s">
        <v>20</v>
      </c>
      <c r="B27" t="s">
        <v>234</v>
      </c>
      <c r="C27" t="s">
        <v>249</v>
      </c>
      <c r="D27" t="s">
        <v>20</v>
      </c>
      <c r="E27" t="s">
        <v>62</v>
      </c>
      <c r="F27" t="s">
        <v>70</v>
      </c>
      <c r="G27" t="s">
        <v>128</v>
      </c>
      <c r="H27">
        <v>100</v>
      </c>
      <c r="I27" t="s">
        <v>71</v>
      </c>
      <c r="K27" t="s">
        <v>19</v>
      </c>
      <c r="L27" s="4">
        <v>9208</v>
      </c>
      <c r="M27" s="5" t="s">
        <v>236</v>
      </c>
      <c r="N27" s="2">
        <v>45536</v>
      </c>
      <c r="O27">
        <f t="shared" si="0"/>
        <v>18</v>
      </c>
      <c r="P27">
        <f t="shared" si="1"/>
        <v>20</v>
      </c>
      <c r="Q27" t="str">
        <f>IF(Table13[[#This Row],[مده التسليم (الفعليه)]]=0, "ملغي", IF(Table13[[#This Row],[مده التسليم (الفعليه)]]&gt;=Table13[[#This Row],[مده التسليم (المحدده)]], "تم في الموعد", "تأخر في التسليم"))</f>
        <v>تم في الموعد</v>
      </c>
      <c r="R27">
        <v>18</v>
      </c>
      <c r="S27">
        <v>20</v>
      </c>
      <c r="T27" t="s">
        <v>270</v>
      </c>
      <c r="U27" s="2">
        <v>45554</v>
      </c>
      <c r="V27" s="2">
        <v>45556</v>
      </c>
      <c r="W27" t="s">
        <v>130</v>
      </c>
    </row>
    <row r="28" spans="1:23" hidden="1" x14ac:dyDescent="0.3">
      <c r="A28" t="s">
        <v>20</v>
      </c>
      <c r="B28" t="s">
        <v>234</v>
      </c>
      <c r="C28" t="s">
        <v>249</v>
      </c>
      <c r="D28" t="s">
        <v>20</v>
      </c>
      <c r="E28" t="s">
        <v>62</v>
      </c>
      <c r="F28" t="s">
        <v>70</v>
      </c>
      <c r="G28" t="s">
        <v>128</v>
      </c>
      <c r="H28">
        <v>100</v>
      </c>
      <c r="I28" t="s">
        <v>72</v>
      </c>
      <c r="K28" t="s">
        <v>21</v>
      </c>
      <c r="L28" s="4">
        <v>9208</v>
      </c>
      <c r="M28" s="5" t="s">
        <v>236</v>
      </c>
      <c r="N28" s="2">
        <v>45536</v>
      </c>
      <c r="O28">
        <f t="shared" si="0"/>
        <v>18</v>
      </c>
      <c r="P28">
        <f t="shared" si="1"/>
        <v>20</v>
      </c>
      <c r="Q28" t="str">
        <f>IF(Table13[[#This Row],[مده التسليم (الفعليه)]]=0, "ملغي", IF(Table13[[#This Row],[مده التسليم (الفعليه)]]&gt;=Table13[[#This Row],[مده التسليم (المحدده)]], "تم في الموعد", "تأخر في التسليم"))</f>
        <v>تم في الموعد</v>
      </c>
      <c r="R28">
        <v>18</v>
      </c>
      <c r="S28">
        <v>20</v>
      </c>
      <c r="T28" t="s">
        <v>270</v>
      </c>
      <c r="U28" s="2">
        <v>45554</v>
      </c>
      <c r="V28" s="2">
        <v>45556</v>
      </c>
      <c r="W28" t="s">
        <v>130</v>
      </c>
    </row>
    <row r="29" spans="1:23" hidden="1" x14ac:dyDescent="0.3">
      <c r="A29" t="s">
        <v>135</v>
      </c>
      <c r="B29" t="s">
        <v>234</v>
      </c>
      <c r="C29" t="s">
        <v>266</v>
      </c>
      <c r="D29" t="s">
        <v>250</v>
      </c>
      <c r="E29" t="s">
        <v>62</v>
      </c>
      <c r="F29" t="s">
        <v>64</v>
      </c>
      <c r="G29" t="s">
        <v>129</v>
      </c>
      <c r="H29">
        <v>120</v>
      </c>
      <c r="I29" t="s">
        <v>71</v>
      </c>
      <c r="K29" t="s">
        <v>34</v>
      </c>
      <c r="L29" s="4">
        <v>4020</v>
      </c>
      <c r="M29" s="5" t="s">
        <v>136</v>
      </c>
      <c r="N29" s="2">
        <v>45547</v>
      </c>
      <c r="O29">
        <f t="shared" si="0"/>
        <v>9</v>
      </c>
      <c r="P29">
        <f t="shared" si="1"/>
        <v>10</v>
      </c>
      <c r="Q29" t="str">
        <f>IF(Table13[[#This Row],[مده التسليم (الفعليه)]]=0, "ملغي", IF(Table13[[#This Row],[مده التسليم (الفعليه)]]&gt;=Table13[[#This Row],[مده التسليم (المحدده)]], "تم في الموعد", "تأخر في التسليم"))</f>
        <v>تم في الموعد</v>
      </c>
      <c r="R29">
        <v>9</v>
      </c>
      <c r="S29">
        <v>10</v>
      </c>
      <c r="T29" t="s">
        <v>270</v>
      </c>
      <c r="U29" s="2">
        <v>45556</v>
      </c>
      <c r="V29" s="2">
        <v>45557</v>
      </c>
      <c r="W29" t="s">
        <v>130</v>
      </c>
    </row>
    <row r="30" spans="1:23" hidden="1" x14ac:dyDescent="0.3">
      <c r="A30" t="s">
        <v>135</v>
      </c>
      <c r="B30" t="s">
        <v>234</v>
      </c>
      <c r="C30" t="s">
        <v>266</v>
      </c>
      <c r="D30" t="s">
        <v>250</v>
      </c>
      <c r="E30" t="s">
        <v>62</v>
      </c>
      <c r="F30" t="s">
        <v>64</v>
      </c>
      <c r="G30" t="s">
        <v>129</v>
      </c>
      <c r="H30">
        <v>120</v>
      </c>
      <c r="I30" t="s">
        <v>71</v>
      </c>
      <c r="K30" t="s">
        <v>34</v>
      </c>
      <c r="L30" s="4">
        <v>4020</v>
      </c>
      <c r="M30" s="5" t="s">
        <v>136</v>
      </c>
      <c r="N30" s="2">
        <v>45547</v>
      </c>
      <c r="O30">
        <f t="shared" si="0"/>
        <v>9</v>
      </c>
      <c r="P30">
        <f t="shared" si="1"/>
        <v>10</v>
      </c>
      <c r="Q30" t="str">
        <f>IF(Table13[[#This Row],[مده التسليم (الفعليه)]]=0, "ملغي", IF(Table13[[#This Row],[مده التسليم (الفعليه)]]&gt;=Table13[[#This Row],[مده التسليم (المحدده)]], "تم في الموعد", "تأخر في التسليم"))</f>
        <v>تم في الموعد</v>
      </c>
      <c r="R30">
        <v>9</v>
      </c>
      <c r="S30">
        <v>10</v>
      </c>
      <c r="T30" t="s">
        <v>270</v>
      </c>
      <c r="U30" s="2">
        <v>45556</v>
      </c>
      <c r="V30" s="2">
        <v>45557</v>
      </c>
      <c r="W30" t="s">
        <v>130</v>
      </c>
    </row>
    <row r="31" spans="1:23" x14ac:dyDescent="0.3">
      <c r="A31" t="s">
        <v>135</v>
      </c>
      <c r="B31" t="s">
        <v>234</v>
      </c>
      <c r="C31" t="s">
        <v>266</v>
      </c>
      <c r="D31" t="s">
        <v>250</v>
      </c>
      <c r="E31" t="s">
        <v>62</v>
      </c>
      <c r="F31" t="s">
        <v>64</v>
      </c>
      <c r="G31" t="s">
        <v>137</v>
      </c>
      <c r="H31">
        <v>120</v>
      </c>
      <c r="I31" t="s">
        <v>72</v>
      </c>
      <c r="K31" t="s">
        <v>33</v>
      </c>
      <c r="L31" s="4">
        <v>4020</v>
      </c>
      <c r="M31" s="5" t="s">
        <v>118</v>
      </c>
      <c r="N31" s="2">
        <v>45547</v>
      </c>
      <c r="O31">
        <f t="shared" si="0"/>
        <v>9</v>
      </c>
      <c r="P31">
        <f t="shared" si="1"/>
        <v>10</v>
      </c>
      <c r="Q31" t="str">
        <f>IF(Table13[[#This Row],[مده التسليم (الفعليه)]]=0, "ملغي", IF(Table13[[#This Row],[مده التسليم (الفعليه)]]&gt;=Table13[[#This Row],[مده التسليم (المحدده)]], "تم في الموعد", "تأخر في التسليم"))</f>
        <v>تم في الموعد</v>
      </c>
      <c r="R31">
        <v>9</v>
      </c>
      <c r="S31">
        <v>10</v>
      </c>
      <c r="T31" t="s">
        <v>270</v>
      </c>
      <c r="U31" s="2">
        <v>45556</v>
      </c>
      <c r="V31" s="2">
        <v>45557</v>
      </c>
      <c r="W31" t="s">
        <v>130</v>
      </c>
    </row>
    <row r="32" spans="1:23" x14ac:dyDescent="0.3">
      <c r="A32" t="s">
        <v>135</v>
      </c>
      <c r="B32" t="s">
        <v>234</v>
      </c>
      <c r="C32" t="s">
        <v>266</v>
      </c>
      <c r="D32" t="s">
        <v>250</v>
      </c>
      <c r="E32" t="s">
        <v>62</v>
      </c>
      <c r="F32" t="s">
        <v>64</v>
      </c>
      <c r="G32" t="s">
        <v>137</v>
      </c>
      <c r="H32">
        <v>120</v>
      </c>
      <c r="I32" t="s">
        <v>72</v>
      </c>
      <c r="K32" t="s">
        <v>33</v>
      </c>
      <c r="L32" s="4">
        <v>4020</v>
      </c>
      <c r="M32" s="5" t="s">
        <v>118</v>
      </c>
      <c r="N32" s="2">
        <v>45547</v>
      </c>
      <c r="O32">
        <f t="shared" si="0"/>
        <v>9</v>
      </c>
      <c r="P32">
        <f t="shared" si="1"/>
        <v>10</v>
      </c>
      <c r="Q32" t="str">
        <f>IF(Table13[[#This Row],[مده التسليم (الفعليه)]]=0, "ملغي", IF(Table13[[#This Row],[مده التسليم (الفعليه)]]&gt;=Table13[[#This Row],[مده التسليم (المحدده)]], "تم في الموعد", "تأخر في التسليم"))</f>
        <v>تم في الموعد</v>
      </c>
      <c r="R32">
        <v>9</v>
      </c>
      <c r="S32">
        <v>10</v>
      </c>
      <c r="T32" t="s">
        <v>270</v>
      </c>
      <c r="U32" s="2">
        <v>45556</v>
      </c>
      <c r="V32" s="2">
        <v>45557</v>
      </c>
      <c r="W32" t="s">
        <v>130</v>
      </c>
    </row>
    <row r="33" spans="1:23" x14ac:dyDescent="0.3">
      <c r="A33" t="s">
        <v>138</v>
      </c>
      <c r="B33" t="s">
        <v>233</v>
      </c>
      <c r="C33" t="s">
        <v>59</v>
      </c>
      <c r="D33" t="s">
        <v>4</v>
      </c>
      <c r="E33" t="s">
        <v>62</v>
      </c>
      <c r="F33" t="s">
        <v>63</v>
      </c>
      <c r="I33" t="s">
        <v>72</v>
      </c>
      <c r="J33" t="s">
        <v>72</v>
      </c>
      <c r="K33" t="s">
        <v>60</v>
      </c>
      <c r="L33" s="4">
        <v>9399</v>
      </c>
      <c r="M33" s="5" t="s">
        <v>118</v>
      </c>
      <c r="N33" s="2">
        <v>45549</v>
      </c>
      <c r="O33">
        <f t="shared" si="0"/>
        <v>8</v>
      </c>
      <c r="P33">
        <f t="shared" si="1"/>
        <v>0</v>
      </c>
      <c r="Q33" t="str">
        <f>IF(Table13[[#This Row],[مده التسليم (الفعليه)]]=0, "ملغي", IF(Table13[[#This Row],[مده التسليم (الفعليه)]]&gt;=Table13[[#This Row],[مده التسليم (المحدده)]], "تم في الموعد", "تأخر في التسليم"))</f>
        <v>ملغي</v>
      </c>
      <c r="R33">
        <v>8</v>
      </c>
      <c r="S33">
        <v>0</v>
      </c>
      <c r="T33" t="s">
        <v>272</v>
      </c>
      <c r="U33" s="2">
        <v>45557</v>
      </c>
      <c r="V33" s="2"/>
      <c r="W33" t="s">
        <v>97</v>
      </c>
    </row>
    <row r="34" spans="1:23" x14ac:dyDescent="0.3">
      <c r="A34" t="s">
        <v>139</v>
      </c>
      <c r="B34" t="s">
        <v>233</v>
      </c>
      <c r="C34" t="s">
        <v>255</v>
      </c>
      <c r="D34" t="s">
        <v>4</v>
      </c>
      <c r="E34" t="s">
        <v>123</v>
      </c>
      <c r="F34" t="s">
        <v>83</v>
      </c>
      <c r="K34" t="s">
        <v>61</v>
      </c>
      <c r="L34" s="4">
        <v>8349</v>
      </c>
      <c r="M34" s="5" t="s">
        <v>118</v>
      </c>
      <c r="N34" s="2">
        <v>45549</v>
      </c>
      <c r="O34">
        <f t="shared" ref="O34:O65" si="2">IF(OR(ISBLANK(U34),ISBLANK(N34)),0,U34-N34)</f>
        <v>8</v>
      </c>
      <c r="P34">
        <f t="shared" ref="P34:P65" si="3">IF(OR(ISBLANK(V34),ISBLANK(N34)),0,V34-N34)</f>
        <v>10</v>
      </c>
      <c r="Q34" t="str">
        <f>IF(Table13[[#This Row],[مده التسليم (الفعليه)]]=0, "ملغي", IF(Table13[[#This Row],[مده التسليم (الفعليه)]]&gt;=Table13[[#This Row],[مده التسليم (المحدده)]], "تم في الموعد", "تأخر في التسليم"))</f>
        <v>تم في الموعد</v>
      </c>
      <c r="R34">
        <v>8</v>
      </c>
      <c r="S34">
        <v>10</v>
      </c>
      <c r="T34" t="s">
        <v>270</v>
      </c>
      <c r="U34" s="2">
        <v>45557</v>
      </c>
      <c r="V34" s="2">
        <v>45559</v>
      </c>
      <c r="W34" t="s">
        <v>130</v>
      </c>
    </row>
    <row r="35" spans="1:23" x14ac:dyDescent="0.3">
      <c r="A35" t="s">
        <v>206</v>
      </c>
      <c r="B35" t="s">
        <v>233</v>
      </c>
      <c r="C35" t="s">
        <v>232</v>
      </c>
      <c r="D35" t="s">
        <v>4</v>
      </c>
      <c r="E35" t="s">
        <v>62</v>
      </c>
      <c r="F35" t="s">
        <v>63</v>
      </c>
      <c r="I35" t="s">
        <v>72</v>
      </c>
      <c r="J35" t="s">
        <v>72</v>
      </c>
      <c r="K35" t="s">
        <v>43</v>
      </c>
      <c r="L35" s="4">
        <v>9399</v>
      </c>
      <c r="M35" s="5" t="s">
        <v>118</v>
      </c>
      <c r="N35" s="2">
        <v>45548</v>
      </c>
      <c r="O35">
        <f t="shared" si="2"/>
        <v>11</v>
      </c>
      <c r="P35">
        <f t="shared" si="3"/>
        <v>17</v>
      </c>
      <c r="Q35" t="str">
        <f>IF(Table13[[#This Row],[مده التسليم (الفعليه)]]=0, "ملغي", IF(Table13[[#This Row],[مده التسليم (الفعليه)]]&gt;=Table13[[#This Row],[مده التسليم (المحدده)]], "تم في الموعد", "تأخر في التسليم"))</f>
        <v>تم في الموعد</v>
      </c>
      <c r="R35">
        <v>11</v>
      </c>
      <c r="S35">
        <v>17</v>
      </c>
      <c r="T35" t="s">
        <v>270</v>
      </c>
      <c r="U35" s="2">
        <v>45559</v>
      </c>
      <c r="V35" s="2">
        <v>45565</v>
      </c>
      <c r="W35" t="s">
        <v>130</v>
      </c>
    </row>
    <row r="36" spans="1:23" hidden="1" x14ac:dyDescent="0.3">
      <c r="A36" t="s">
        <v>207</v>
      </c>
      <c r="B36" t="s">
        <v>233</v>
      </c>
      <c r="C36" t="s">
        <v>110</v>
      </c>
      <c r="D36" t="s">
        <v>4</v>
      </c>
      <c r="E36" t="s">
        <v>123</v>
      </c>
      <c r="F36" t="s">
        <v>81</v>
      </c>
      <c r="K36" t="s">
        <v>24</v>
      </c>
      <c r="L36" s="4">
        <v>7849</v>
      </c>
      <c r="M36" s="5" t="s">
        <v>236</v>
      </c>
      <c r="N36" s="2">
        <v>45547</v>
      </c>
      <c r="O36">
        <f t="shared" si="2"/>
        <v>14</v>
      </c>
      <c r="P36">
        <f t="shared" si="3"/>
        <v>0</v>
      </c>
      <c r="Q36" t="str">
        <f>IF(Table13[[#This Row],[مده التسليم (الفعليه)]]=0, "ملغي", IF(Table13[[#This Row],[مده التسليم (الفعليه)]]&gt;=Table13[[#This Row],[مده التسليم (المحدده)]], "تم في الموعد", "تأخر في التسليم"))</f>
        <v>ملغي</v>
      </c>
      <c r="R36">
        <v>14</v>
      </c>
      <c r="S36">
        <v>0</v>
      </c>
      <c r="T36" t="s">
        <v>272</v>
      </c>
      <c r="U36" s="2">
        <v>45561</v>
      </c>
      <c r="V36" s="2"/>
      <c r="W36" t="s">
        <v>130</v>
      </c>
    </row>
    <row r="37" spans="1:23" hidden="1" x14ac:dyDescent="0.3">
      <c r="A37" t="s">
        <v>140</v>
      </c>
      <c r="B37" t="s">
        <v>233</v>
      </c>
      <c r="C37" t="s">
        <v>232</v>
      </c>
      <c r="D37" t="s">
        <v>125</v>
      </c>
      <c r="E37" t="s">
        <v>62</v>
      </c>
      <c r="F37" t="s">
        <v>74</v>
      </c>
      <c r="G37" t="s">
        <v>121</v>
      </c>
      <c r="H37">
        <v>100</v>
      </c>
      <c r="I37" t="s">
        <v>72</v>
      </c>
      <c r="K37" t="s">
        <v>32</v>
      </c>
      <c r="L37" s="4">
        <v>9450</v>
      </c>
      <c r="M37" s="5" t="s">
        <v>236</v>
      </c>
      <c r="N37" s="2">
        <v>45547</v>
      </c>
      <c r="O37">
        <f t="shared" si="2"/>
        <v>14</v>
      </c>
      <c r="P37">
        <f t="shared" si="3"/>
        <v>0</v>
      </c>
      <c r="Q37" t="str">
        <f>IF(Table13[[#This Row],[مده التسليم (الفعليه)]]=0, "ملغي", IF(Table13[[#This Row],[مده التسليم (الفعليه)]]&gt;=Table13[[#This Row],[مده التسليم (المحدده)]], "تم في الموعد", "تأخر في التسليم"))</f>
        <v>ملغي</v>
      </c>
      <c r="R37">
        <v>14</v>
      </c>
      <c r="S37">
        <v>0</v>
      </c>
      <c r="T37" t="s">
        <v>272</v>
      </c>
      <c r="U37" s="2">
        <v>45561</v>
      </c>
      <c r="V37" s="2"/>
      <c r="W37" t="s">
        <v>97</v>
      </c>
    </row>
    <row r="38" spans="1:23" x14ac:dyDescent="0.3">
      <c r="A38" t="s">
        <v>208</v>
      </c>
      <c r="B38" t="s">
        <v>233</v>
      </c>
      <c r="C38" t="s">
        <v>27</v>
      </c>
      <c r="D38" t="s">
        <v>4</v>
      </c>
      <c r="E38" t="s">
        <v>62</v>
      </c>
      <c r="F38" t="s">
        <v>64</v>
      </c>
      <c r="G38" t="s">
        <v>134</v>
      </c>
      <c r="H38">
        <v>120</v>
      </c>
      <c r="I38" t="s">
        <v>72</v>
      </c>
      <c r="K38" t="s">
        <v>39</v>
      </c>
      <c r="L38" s="4">
        <v>7460</v>
      </c>
      <c r="M38" s="5" t="s">
        <v>118</v>
      </c>
      <c r="N38" s="2">
        <v>45548</v>
      </c>
      <c r="O38">
        <f t="shared" si="2"/>
        <v>13</v>
      </c>
      <c r="P38">
        <f t="shared" si="3"/>
        <v>20</v>
      </c>
      <c r="Q38" t="str">
        <f>IF(Table13[[#This Row],[مده التسليم (الفعليه)]]=0, "ملغي", IF(Table13[[#This Row],[مده التسليم (الفعليه)]]&gt;=Table13[[#This Row],[مده التسليم (المحدده)]], "تم في الموعد", "تأخر في التسليم"))</f>
        <v>تم في الموعد</v>
      </c>
      <c r="R38">
        <v>13</v>
      </c>
      <c r="S38">
        <v>20</v>
      </c>
      <c r="T38" t="s">
        <v>270</v>
      </c>
      <c r="U38" s="2">
        <v>45561</v>
      </c>
      <c r="V38" s="2">
        <v>45568</v>
      </c>
      <c r="W38" t="s">
        <v>130</v>
      </c>
    </row>
    <row r="39" spans="1:23" x14ac:dyDescent="0.3">
      <c r="A39" t="s">
        <v>141</v>
      </c>
      <c r="B39" t="s">
        <v>233</v>
      </c>
      <c r="C39" t="s">
        <v>27</v>
      </c>
      <c r="D39" t="s">
        <v>4</v>
      </c>
      <c r="E39" t="s">
        <v>62</v>
      </c>
      <c r="F39" t="s">
        <v>64</v>
      </c>
      <c r="G39" t="s">
        <v>142</v>
      </c>
      <c r="H39">
        <v>140</v>
      </c>
      <c r="I39" t="s">
        <v>78</v>
      </c>
      <c r="J39" t="s">
        <v>75</v>
      </c>
      <c r="K39" t="s">
        <v>41</v>
      </c>
      <c r="L39" s="4">
        <v>9528</v>
      </c>
      <c r="M39" s="5" t="s">
        <v>118</v>
      </c>
      <c r="N39" s="2">
        <v>45548</v>
      </c>
      <c r="O39">
        <f t="shared" si="2"/>
        <v>13</v>
      </c>
      <c r="P39">
        <f t="shared" si="3"/>
        <v>20</v>
      </c>
      <c r="Q39" t="str">
        <f>IF(Table13[[#This Row],[مده التسليم (الفعليه)]]=0, "ملغي", IF(Table13[[#This Row],[مده التسليم (الفعليه)]]&gt;=Table13[[#This Row],[مده التسليم (المحدده)]], "تم في الموعد", "تأخر في التسليم"))</f>
        <v>تم في الموعد</v>
      </c>
      <c r="R39">
        <v>13</v>
      </c>
      <c r="S39">
        <v>20</v>
      </c>
      <c r="T39" t="s">
        <v>270</v>
      </c>
      <c r="U39" s="2">
        <v>45561</v>
      </c>
      <c r="V39" s="2">
        <v>45568</v>
      </c>
      <c r="W39" t="s">
        <v>130</v>
      </c>
    </row>
    <row r="40" spans="1:23" x14ac:dyDescent="0.3">
      <c r="A40" t="s">
        <v>209</v>
      </c>
      <c r="B40" t="s">
        <v>233</v>
      </c>
      <c r="C40" t="s">
        <v>232</v>
      </c>
      <c r="D40" t="s">
        <v>4</v>
      </c>
      <c r="E40" t="s">
        <v>62</v>
      </c>
      <c r="F40" t="s">
        <v>70</v>
      </c>
      <c r="G40" t="s">
        <v>121</v>
      </c>
      <c r="H40">
        <v>120</v>
      </c>
      <c r="I40" t="s">
        <v>75</v>
      </c>
      <c r="K40" t="s">
        <v>58</v>
      </c>
      <c r="L40" s="4">
        <v>12999</v>
      </c>
      <c r="M40" s="5" t="s">
        <v>118</v>
      </c>
      <c r="N40" s="2">
        <v>45549</v>
      </c>
      <c r="O40">
        <f t="shared" si="2"/>
        <v>13</v>
      </c>
      <c r="P40">
        <f t="shared" si="3"/>
        <v>18</v>
      </c>
      <c r="Q40" t="str">
        <f>IF(Table13[[#This Row],[مده التسليم (الفعليه)]]=0, "ملغي", IF(Table13[[#This Row],[مده التسليم (الفعليه)]]&gt;=Table13[[#This Row],[مده التسليم (المحدده)]], "تم في الموعد", "تأخر في التسليم"))</f>
        <v>تم في الموعد</v>
      </c>
      <c r="R40">
        <v>13</v>
      </c>
      <c r="S40">
        <v>18</v>
      </c>
      <c r="T40" t="s">
        <v>270</v>
      </c>
      <c r="U40" s="2">
        <v>45562</v>
      </c>
      <c r="V40" s="2">
        <v>45567</v>
      </c>
      <c r="W40" t="s">
        <v>130</v>
      </c>
    </row>
    <row r="41" spans="1:23" x14ac:dyDescent="0.3">
      <c r="A41" t="s">
        <v>210</v>
      </c>
      <c r="B41" t="s">
        <v>233</v>
      </c>
      <c r="C41" t="s">
        <v>35</v>
      </c>
      <c r="D41" t="s">
        <v>4</v>
      </c>
      <c r="E41" t="s">
        <v>62</v>
      </c>
      <c r="F41" t="s">
        <v>70</v>
      </c>
      <c r="G41" t="s">
        <v>124</v>
      </c>
      <c r="H41">
        <v>90</v>
      </c>
      <c r="I41" t="s">
        <v>72</v>
      </c>
      <c r="K41" t="s">
        <v>30</v>
      </c>
      <c r="L41" s="4">
        <v>5999</v>
      </c>
      <c r="M41" s="5" t="s">
        <v>118</v>
      </c>
      <c r="N41" s="2">
        <v>45547</v>
      </c>
      <c r="O41">
        <f t="shared" si="2"/>
        <v>17</v>
      </c>
      <c r="P41">
        <f t="shared" si="3"/>
        <v>0</v>
      </c>
      <c r="Q41" t="str">
        <f>IF(Table13[[#This Row],[مده التسليم (الفعليه)]]=0, "ملغي", IF(Table13[[#This Row],[مده التسليم (الفعليه)]]&gt;=Table13[[#This Row],[مده التسليم (المحدده)]], "تم في الموعد", "تأخر في التسليم"))</f>
        <v>ملغي</v>
      </c>
      <c r="R41">
        <v>17</v>
      </c>
      <c r="S41">
        <v>0</v>
      </c>
      <c r="T41" t="s">
        <v>272</v>
      </c>
      <c r="U41" s="2">
        <v>45564</v>
      </c>
      <c r="V41" s="2"/>
      <c r="W41" t="s">
        <v>97</v>
      </c>
    </row>
    <row r="42" spans="1:23" hidden="1" x14ac:dyDescent="0.3">
      <c r="A42" t="s">
        <v>211</v>
      </c>
      <c r="B42" t="s">
        <v>233</v>
      </c>
      <c r="C42" t="s">
        <v>259</v>
      </c>
      <c r="D42" t="s">
        <v>4</v>
      </c>
      <c r="E42" t="s">
        <v>62</v>
      </c>
      <c r="F42" t="s">
        <v>70</v>
      </c>
      <c r="G42" t="s">
        <v>121</v>
      </c>
      <c r="H42">
        <v>100</v>
      </c>
      <c r="I42" t="s">
        <v>72</v>
      </c>
      <c r="K42" t="s">
        <v>31</v>
      </c>
      <c r="L42" s="4">
        <v>11949</v>
      </c>
      <c r="M42" s="5" t="s">
        <v>236</v>
      </c>
      <c r="N42" s="2">
        <v>45547</v>
      </c>
      <c r="O42">
        <f t="shared" si="2"/>
        <v>17</v>
      </c>
      <c r="P42">
        <f t="shared" si="3"/>
        <v>20</v>
      </c>
      <c r="Q42" t="str">
        <f>IF(Table13[[#This Row],[مده التسليم (الفعليه)]]=0, "ملغي", IF(Table13[[#This Row],[مده التسليم (الفعليه)]]&gt;=Table13[[#This Row],[مده التسليم (المحدده)]], "تم في الموعد", "تأخر في التسليم"))</f>
        <v>تم في الموعد</v>
      </c>
      <c r="R42">
        <v>17</v>
      </c>
      <c r="S42">
        <v>20</v>
      </c>
      <c r="T42" t="s">
        <v>270</v>
      </c>
      <c r="U42" s="2">
        <v>45564</v>
      </c>
      <c r="V42" s="2">
        <v>45567</v>
      </c>
      <c r="W42" t="s">
        <v>130</v>
      </c>
    </row>
    <row r="43" spans="1:23" hidden="1" x14ac:dyDescent="0.3">
      <c r="A43" t="s">
        <v>211</v>
      </c>
      <c r="B43" t="s">
        <v>233</v>
      </c>
      <c r="C43" t="s">
        <v>259</v>
      </c>
      <c r="D43" t="s">
        <v>4</v>
      </c>
      <c r="E43" t="s">
        <v>62</v>
      </c>
      <c r="F43" t="s">
        <v>70</v>
      </c>
      <c r="G43" t="s">
        <v>121</v>
      </c>
      <c r="H43">
        <v>100</v>
      </c>
      <c r="I43" t="s">
        <v>72</v>
      </c>
      <c r="K43" t="s">
        <v>31</v>
      </c>
      <c r="L43" s="4">
        <v>11949</v>
      </c>
      <c r="M43" s="5" t="s">
        <v>236</v>
      </c>
      <c r="N43" s="2">
        <v>45547</v>
      </c>
      <c r="O43">
        <f t="shared" si="2"/>
        <v>17</v>
      </c>
      <c r="P43">
        <f t="shared" si="3"/>
        <v>20</v>
      </c>
      <c r="Q43" t="str">
        <f>IF(Table13[[#This Row],[مده التسليم (الفعليه)]]=0, "ملغي", IF(Table13[[#This Row],[مده التسليم (الفعليه)]]&gt;=Table13[[#This Row],[مده التسليم (المحدده)]], "تم في الموعد", "تأخر في التسليم"))</f>
        <v>تم في الموعد</v>
      </c>
      <c r="R43">
        <v>17</v>
      </c>
      <c r="S43">
        <v>20</v>
      </c>
      <c r="T43" t="s">
        <v>270</v>
      </c>
      <c r="U43" s="2">
        <v>45564</v>
      </c>
      <c r="V43" s="2">
        <v>45567</v>
      </c>
      <c r="W43" t="s">
        <v>130</v>
      </c>
    </row>
    <row r="44" spans="1:23" x14ac:dyDescent="0.3">
      <c r="A44" t="s">
        <v>201</v>
      </c>
      <c r="B44" t="s">
        <v>233</v>
      </c>
      <c r="C44" t="s">
        <v>35</v>
      </c>
      <c r="D44" t="s">
        <v>4</v>
      </c>
      <c r="E44" t="s">
        <v>62</v>
      </c>
      <c r="F44" t="s">
        <v>74</v>
      </c>
      <c r="G44" t="s">
        <v>121</v>
      </c>
      <c r="H44">
        <v>80</v>
      </c>
      <c r="I44" t="s">
        <v>71</v>
      </c>
      <c r="K44" t="s">
        <v>37</v>
      </c>
      <c r="L44" s="4">
        <v>16599</v>
      </c>
      <c r="M44" s="5" t="s">
        <v>118</v>
      </c>
      <c r="N44" s="2">
        <v>45548</v>
      </c>
      <c r="O44">
        <f t="shared" si="2"/>
        <v>17</v>
      </c>
      <c r="P44">
        <f t="shared" si="3"/>
        <v>20</v>
      </c>
      <c r="Q44" t="str">
        <f>IF(Table13[[#This Row],[مده التسليم (الفعليه)]]=0, "ملغي", IF(Table13[[#This Row],[مده التسليم (الفعليه)]]&gt;=Table13[[#This Row],[مده التسليم (المحدده)]], "تم في الموعد", "تأخر في التسليم"))</f>
        <v>تم في الموعد</v>
      </c>
      <c r="R44">
        <v>17</v>
      </c>
      <c r="S44">
        <v>20</v>
      </c>
      <c r="T44" t="s">
        <v>270</v>
      </c>
      <c r="U44" s="2">
        <v>45565</v>
      </c>
      <c r="V44" s="2">
        <v>45568</v>
      </c>
      <c r="W44" t="s">
        <v>130</v>
      </c>
    </row>
    <row r="45" spans="1:23" x14ac:dyDescent="0.3">
      <c r="A45" t="s">
        <v>212</v>
      </c>
      <c r="B45" t="s">
        <v>233</v>
      </c>
      <c r="C45" t="s">
        <v>47</v>
      </c>
      <c r="D45" t="s">
        <v>4</v>
      </c>
      <c r="E45" t="s">
        <v>62</v>
      </c>
      <c r="F45" t="s">
        <v>70</v>
      </c>
      <c r="G45" t="s">
        <v>121</v>
      </c>
      <c r="H45">
        <v>80</v>
      </c>
      <c r="I45" t="s">
        <v>71</v>
      </c>
      <c r="K45" t="s">
        <v>36</v>
      </c>
      <c r="L45" s="4">
        <v>10999</v>
      </c>
      <c r="M45" s="5" t="s">
        <v>118</v>
      </c>
      <c r="N45" s="2">
        <v>45548</v>
      </c>
      <c r="O45">
        <f t="shared" si="2"/>
        <v>17</v>
      </c>
      <c r="P45">
        <f t="shared" si="3"/>
        <v>33</v>
      </c>
      <c r="Q45" t="str">
        <f>IF(Table13[[#This Row],[مده التسليم (الفعليه)]]=0, "ملغي", IF(Table13[[#This Row],[مده التسليم (الفعليه)]]&gt;=Table13[[#This Row],[مده التسليم (المحدده)]], "تم في الموعد", "تأخر في التسليم"))</f>
        <v>تم في الموعد</v>
      </c>
      <c r="R45">
        <v>17</v>
      </c>
      <c r="S45">
        <v>33</v>
      </c>
      <c r="T45" t="s">
        <v>270</v>
      </c>
      <c r="U45" s="2">
        <v>45565</v>
      </c>
      <c r="V45" s="2">
        <v>45581</v>
      </c>
      <c r="W45" t="s">
        <v>130</v>
      </c>
    </row>
    <row r="46" spans="1:23" x14ac:dyDescent="0.3">
      <c r="A46" t="s">
        <v>213</v>
      </c>
      <c r="B46" t="s">
        <v>233</v>
      </c>
      <c r="C46" t="s">
        <v>260</v>
      </c>
      <c r="D46" t="s">
        <v>4</v>
      </c>
      <c r="E46" t="s">
        <v>62</v>
      </c>
      <c r="F46" t="s">
        <v>70</v>
      </c>
      <c r="G46" t="s">
        <v>121</v>
      </c>
      <c r="H46">
        <v>140</v>
      </c>
      <c r="I46" t="s">
        <v>73</v>
      </c>
      <c r="K46" t="s">
        <v>38</v>
      </c>
      <c r="L46" s="4">
        <v>13099</v>
      </c>
      <c r="M46" s="5" t="s">
        <v>118</v>
      </c>
      <c r="N46" s="2">
        <v>45548</v>
      </c>
      <c r="O46">
        <f t="shared" si="2"/>
        <v>17</v>
      </c>
      <c r="P46">
        <f t="shared" si="3"/>
        <v>20</v>
      </c>
      <c r="Q46" t="str">
        <f>IF(Table13[[#This Row],[مده التسليم (الفعليه)]]=0, "ملغي", IF(Table13[[#This Row],[مده التسليم (الفعليه)]]&gt;=Table13[[#This Row],[مده التسليم (المحدده)]], "تم في الموعد", "تأخر في التسليم"))</f>
        <v>تم في الموعد</v>
      </c>
      <c r="R46">
        <v>17</v>
      </c>
      <c r="S46">
        <v>20</v>
      </c>
      <c r="T46" t="s">
        <v>270</v>
      </c>
      <c r="U46" s="2">
        <v>45565</v>
      </c>
      <c r="V46" s="2">
        <v>45568</v>
      </c>
      <c r="W46" t="s">
        <v>130</v>
      </c>
    </row>
    <row r="47" spans="1:23" x14ac:dyDescent="0.3">
      <c r="A47" t="s">
        <v>214</v>
      </c>
      <c r="B47" t="s">
        <v>233</v>
      </c>
      <c r="C47" t="s">
        <v>232</v>
      </c>
      <c r="D47" t="s">
        <v>4</v>
      </c>
      <c r="E47" t="s">
        <v>62</v>
      </c>
      <c r="F47" t="s">
        <v>70</v>
      </c>
      <c r="G47" t="s">
        <v>128</v>
      </c>
      <c r="H47">
        <v>120</v>
      </c>
      <c r="I47" t="s">
        <v>76</v>
      </c>
      <c r="K47" t="s">
        <v>40</v>
      </c>
      <c r="L47" s="4">
        <v>13849</v>
      </c>
      <c r="M47" s="5" t="s">
        <v>118</v>
      </c>
      <c r="N47" s="2">
        <v>45548</v>
      </c>
      <c r="O47">
        <f t="shared" si="2"/>
        <v>17</v>
      </c>
      <c r="P47">
        <f t="shared" si="3"/>
        <v>37</v>
      </c>
      <c r="Q47" t="str">
        <f>IF(Table13[[#This Row],[مده التسليم (الفعليه)]]=0, "ملغي", IF(Table13[[#This Row],[مده التسليم (الفعليه)]]&gt;=Table13[[#This Row],[مده التسليم (المحدده)]], "تم في الموعد", "تأخر في التسليم"))</f>
        <v>تم في الموعد</v>
      </c>
      <c r="R47">
        <v>17</v>
      </c>
      <c r="S47">
        <v>37</v>
      </c>
      <c r="T47" t="s">
        <v>270</v>
      </c>
      <c r="U47" s="2">
        <v>45565</v>
      </c>
      <c r="V47" s="2">
        <v>45585</v>
      </c>
      <c r="W47" t="s">
        <v>130</v>
      </c>
    </row>
    <row r="48" spans="1:23" x14ac:dyDescent="0.3">
      <c r="A48" t="s">
        <v>215</v>
      </c>
      <c r="B48" t="s">
        <v>233</v>
      </c>
      <c r="C48" t="s">
        <v>27</v>
      </c>
      <c r="D48" t="s">
        <v>4</v>
      </c>
      <c r="E48" t="s">
        <v>85</v>
      </c>
      <c r="F48" t="s">
        <v>69</v>
      </c>
      <c r="I48" t="s">
        <v>72</v>
      </c>
      <c r="J48" t="s">
        <v>75</v>
      </c>
      <c r="K48" t="s">
        <v>42</v>
      </c>
      <c r="L48" s="4">
        <v>21999</v>
      </c>
      <c r="M48" s="5" t="s">
        <v>118</v>
      </c>
      <c r="N48" s="2">
        <v>45548</v>
      </c>
      <c r="O48">
        <f t="shared" si="2"/>
        <v>17</v>
      </c>
      <c r="P48">
        <f t="shared" si="3"/>
        <v>0</v>
      </c>
      <c r="Q48" t="str">
        <f>IF(Table13[[#This Row],[مده التسليم (الفعليه)]]=0, "ملغي", IF(Table13[[#This Row],[مده التسليم (الفعليه)]]&gt;=Table13[[#This Row],[مده التسليم (المحدده)]], "تم في الموعد", "تأخر في التسليم"))</f>
        <v>ملغي</v>
      </c>
      <c r="R48">
        <v>17</v>
      </c>
      <c r="S48">
        <v>0</v>
      </c>
      <c r="T48" t="s">
        <v>272</v>
      </c>
      <c r="U48" s="2">
        <v>45565</v>
      </c>
      <c r="V48" s="2"/>
      <c r="W48" t="s">
        <v>130</v>
      </c>
    </row>
    <row r="49" spans="1:23" x14ac:dyDescent="0.3">
      <c r="A49" t="s">
        <v>216</v>
      </c>
      <c r="B49" t="s">
        <v>233</v>
      </c>
      <c r="C49" t="s">
        <v>232</v>
      </c>
      <c r="D49" t="s">
        <v>4</v>
      </c>
      <c r="E49" t="s">
        <v>62</v>
      </c>
      <c r="F49" t="s">
        <v>70</v>
      </c>
      <c r="G49" t="s">
        <v>121</v>
      </c>
      <c r="H49">
        <v>80</v>
      </c>
      <c r="I49" t="s">
        <v>71</v>
      </c>
      <c r="K49" t="s">
        <v>36</v>
      </c>
      <c r="L49" s="4">
        <v>10999</v>
      </c>
      <c r="M49" s="5" t="s">
        <v>118</v>
      </c>
      <c r="N49" s="2">
        <v>45548</v>
      </c>
      <c r="O49">
        <f t="shared" si="2"/>
        <v>17</v>
      </c>
      <c r="P49">
        <f t="shared" si="3"/>
        <v>32</v>
      </c>
      <c r="Q49" t="str">
        <f>IF(Table13[[#This Row],[مده التسليم (الفعليه)]]=0, "ملغي", IF(Table13[[#This Row],[مده التسليم (الفعليه)]]&gt;=Table13[[#This Row],[مده التسليم (المحدده)]], "تم في الموعد", "تأخر في التسليم"))</f>
        <v>تم في الموعد</v>
      </c>
      <c r="R49">
        <v>17</v>
      </c>
      <c r="S49">
        <v>32</v>
      </c>
      <c r="T49" t="s">
        <v>270</v>
      </c>
      <c r="U49" s="2">
        <v>45565</v>
      </c>
      <c r="V49" s="2">
        <v>45580</v>
      </c>
      <c r="W49" t="s">
        <v>130</v>
      </c>
    </row>
    <row r="50" spans="1:23" x14ac:dyDescent="0.3">
      <c r="A50" t="s">
        <v>217</v>
      </c>
      <c r="B50" t="s">
        <v>233</v>
      </c>
      <c r="C50" t="s">
        <v>44</v>
      </c>
      <c r="D50" t="s">
        <v>4</v>
      </c>
      <c r="E50" t="s">
        <v>62</v>
      </c>
      <c r="F50" t="s">
        <v>74</v>
      </c>
      <c r="G50" t="s">
        <v>121</v>
      </c>
      <c r="H50">
        <v>90</v>
      </c>
      <c r="I50" t="s">
        <v>72</v>
      </c>
      <c r="K50" t="s">
        <v>45</v>
      </c>
      <c r="L50" s="4">
        <v>17249</v>
      </c>
      <c r="M50" s="5" t="s">
        <v>118</v>
      </c>
      <c r="N50" s="2">
        <v>45548</v>
      </c>
      <c r="O50">
        <f t="shared" si="2"/>
        <v>17</v>
      </c>
      <c r="P50">
        <f t="shared" si="3"/>
        <v>21</v>
      </c>
      <c r="Q50" t="str">
        <f>IF(Table13[[#This Row],[مده التسليم (الفعليه)]]=0, "ملغي", IF(Table13[[#This Row],[مده التسليم (الفعليه)]]&gt;=Table13[[#This Row],[مده التسليم (المحدده)]], "تم في الموعد", "تأخر في التسليم"))</f>
        <v>تم في الموعد</v>
      </c>
      <c r="R50">
        <v>17</v>
      </c>
      <c r="S50">
        <v>21</v>
      </c>
      <c r="T50" t="s">
        <v>270</v>
      </c>
      <c r="U50" s="2">
        <v>45565</v>
      </c>
      <c r="V50" s="2">
        <v>45569</v>
      </c>
      <c r="W50" t="s">
        <v>130</v>
      </c>
    </row>
    <row r="51" spans="1:23" x14ac:dyDescent="0.3">
      <c r="A51" t="s">
        <v>218</v>
      </c>
      <c r="B51" t="s">
        <v>233</v>
      </c>
      <c r="C51" t="s">
        <v>232</v>
      </c>
      <c r="D51" t="s">
        <v>4</v>
      </c>
      <c r="E51" t="s">
        <v>123</v>
      </c>
      <c r="F51" t="s">
        <v>81</v>
      </c>
      <c r="K51" t="s">
        <v>57</v>
      </c>
      <c r="L51" s="4">
        <v>8349</v>
      </c>
      <c r="M51" s="5" t="s">
        <v>118</v>
      </c>
      <c r="N51" s="2">
        <v>45549</v>
      </c>
      <c r="O51">
        <f t="shared" si="2"/>
        <v>32</v>
      </c>
      <c r="P51">
        <f t="shared" si="3"/>
        <v>37</v>
      </c>
      <c r="Q51" t="str">
        <f>IF(Table13[[#This Row],[مده التسليم (الفعليه)]]=0, "ملغي", IF(Table13[[#This Row],[مده التسليم (الفعليه)]]&gt;=Table13[[#This Row],[مده التسليم (المحدده)]], "تم في الموعد", "تأخر في التسليم"))</f>
        <v>تم في الموعد</v>
      </c>
      <c r="R51">
        <v>32</v>
      </c>
      <c r="S51">
        <v>37</v>
      </c>
      <c r="T51" t="s">
        <v>270</v>
      </c>
      <c r="U51" s="2">
        <v>45581</v>
      </c>
      <c r="V51" s="2">
        <v>45586</v>
      </c>
      <c r="W51" t="s">
        <v>130</v>
      </c>
    </row>
    <row r="52" spans="1:23" x14ac:dyDescent="0.3">
      <c r="A52" t="s">
        <v>219</v>
      </c>
      <c r="B52" t="s">
        <v>233</v>
      </c>
      <c r="C52" t="s">
        <v>258</v>
      </c>
      <c r="D52" t="s">
        <v>4</v>
      </c>
      <c r="E52" t="s">
        <v>123</v>
      </c>
      <c r="F52" t="s">
        <v>82</v>
      </c>
      <c r="K52" t="s">
        <v>9</v>
      </c>
      <c r="L52" s="4">
        <v>7849</v>
      </c>
      <c r="M52" s="5" t="s">
        <v>118</v>
      </c>
      <c r="N52" s="2">
        <v>45549</v>
      </c>
      <c r="O52">
        <f t="shared" si="2"/>
        <v>45</v>
      </c>
      <c r="P52">
        <f t="shared" si="3"/>
        <v>46</v>
      </c>
      <c r="Q52" t="str">
        <f>IF(Table13[[#This Row],[مده التسليم (الفعليه)]]=0, "ملغي", IF(Table13[[#This Row],[مده التسليم (الفعليه)]]&gt;=Table13[[#This Row],[مده التسليم (المحدده)]], "تم في الموعد", "تأخر في التسليم"))</f>
        <v>تم في الموعد</v>
      </c>
      <c r="R52">
        <v>45</v>
      </c>
      <c r="S52">
        <v>46</v>
      </c>
      <c r="T52" t="s">
        <v>270</v>
      </c>
      <c r="U52" s="2">
        <v>45594</v>
      </c>
      <c r="V52" s="2">
        <v>45595</v>
      </c>
      <c r="W52" t="s">
        <v>130</v>
      </c>
    </row>
    <row r="53" spans="1:23" x14ac:dyDescent="0.3">
      <c r="A53" t="s">
        <v>143</v>
      </c>
      <c r="B53" t="s">
        <v>233</v>
      </c>
      <c r="C53" t="s">
        <v>232</v>
      </c>
      <c r="D53" t="s">
        <v>4</v>
      </c>
      <c r="E53" t="s">
        <v>62</v>
      </c>
      <c r="F53" t="s">
        <v>63</v>
      </c>
      <c r="I53" t="s">
        <v>72</v>
      </c>
      <c r="J53" t="s">
        <v>72</v>
      </c>
      <c r="K53" t="s">
        <v>48</v>
      </c>
      <c r="L53" s="4">
        <v>9399</v>
      </c>
      <c r="M53" s="5" t="s">
        <v>118</v>
      </c>
      <c r="N53" s="2">
        <v>45549</v>
      </c>
      <c r="O53">
        <f t="shared" si="2"/>
        <v>45</v>
      </c>
      <c r="P53">
        <f t="shared" si="3"/>
        <v>31</v>
      </c>
      <c r="Q53" t="str">
        <f>IF(Table13[[#This Row],[مده التسليم (الفعليه)]]=0, "ملغي", IF(Table13[[#This Row],[مده التسليم (الفعليه)]]&gt;=Table13[[#This Row],[مده التسليم (المحدده)]], "تم في الموعد", "تأخر في التسليم"))</f>
        <v>تأخر في التسليم</v>
      </c>
      <c r="R53">
        <v>45</v>
      </c>
      <c r="S53">
        <v>31</v>
      </c>
      <c r="T53" t="s">
        <v>269</v>
      </c>
      <c r="U53" s="2">
        <v>45594</v>
      </c>
      <c r="V53" s="2">
        <v>45580</v>
      </c>
      <c r="W53" t="s">
        <v>130</v>
      </c>
    </row>
    <row r="54" spans="1:23" x14ac:dyDescent="0.3">
      <c r="A54" t="s">
        <v>220</v>
      </c>
      <c r="B54" t="s">
        <v>233</v>
      </c>
      <c r="C54" t="s">
        <v>232</v>
      </c>
      <c r="D54" t="s">
        <v>4</v>
      </c>
      <c r="E54" t="s">
        <v>62</v>
      </c>
      <c r="F54" t="s">
        <v>64</v>
      </c>
      <c r="G54" t="s">
        <v>134</v>
      </c>
      <c r="H54">
        <v>140</v>
      </c>
      <c r="I54" t="s">
        <v>72</v>
      </c>
      <c r="K54" t="s">
        <v>49</v>
      </c>
      <c r="L54" s="4">
        <v>11817</v>
      </c>
      <c r="M54" s="5" t="s">
        <v>118</v>
      </c>
      <c r="N54" s="2">
        <v>45549</v>
      </c>
      <c r="O54">
        <f t="shared" si="2"/>
        <v>45</v>
      </c>
      <c r="P54">
        <f t="shared" si="3"/>
        <v>31</v>
      </c>
      <c r="Q54" t="str">
        <f>IF(Table13[[#This Row],[مده التسليم (الفعليه)]]=0, "ملغي", IF(Table13[[#This Row],[مده التسليم (الفعليه)]]&gt;=Table13[[#This Row],[مده التسليم (المحدده)]], "تم في الموعد", "تأخر في التسليم"))</f>
        <v>تأخر في التسليم</v>
      </c>
      <c r="R54">
        <v>45</v>
      </c>
      <c r="S54">
        <v>31</v>
      </c>
      <c r="T54" t="s">
        <v>269</v>
      </c>
      <c r="U54" s="2">
        <v>45594</v>
      </c>
      <c r="V54" s="2">
        <v>45580</v>
      </c>
      <c r="W54" t="s">
        <v>130</v>
      </c>
    </row>
    <row r="55" spans="1:23" x14ac:dyDescent="0.3">
      <c r="A55" t="s">
        <v>221</v>
      </c>
      <c r="B55" t="s">
        <v>233</v>
      </c>
      <c r="C55" t="s">
        <v>35</v>
      </c>
      <c r="D55" t="s">
        <v>4</v>
      </c>
      <c r="E55" t="s">
        <v>123</v>
      </c>
      <c r="F55" t="s">
        <v>83</v>
      </c>
      <c r="K55" t="s">
        <v>50</v>
      </c>
      <c r="L55" s="4">
        <v>8349</v>
      </c>
      <c r="M55" s="5" t="s">
        <v>118</v>
      </c>
      <c r="N55" s="2">
        <v>45549</v>
      </c>
      <c r="O55">
        <f t="shared" si="2"/>
        <v>45</v>
      </c>
      <c r="P55">
        <f t="shared" si="3"/>
        <v>35</v>
      </c>
      <c r="Q55" t="str">
        <f>IF(Table13[[#This Row],[مده التسليم (الفعليه)]]=0, "ملغي", IF(Table13[[#This Row],[مده التسليم (الفعليه)]]&gt;=Table13[[#This Row],[مده التسليم (المحدده)]], "تم في الموعد", "تأخر في التسليم"))</f>
        <v>تأخر في التسليم</v>
      </c>
      <c r="R55">
        <v>45</v>
      </c>
      <c r="S55">
        <v>35</v>
      </c>
      <c r="T55" t="s">
        <v>269</v>
      </c>
      <c r="U55" s="2">
        <v>45594</v>
      </c>
      <c r="V55" s="2">
        <v>45584</v>
      </c>
      <c r="W55" t="s">
        <v>130</v>
      </c>
    </row>
    <row r="56" spans="1:23" x14ac:dyDescent="0.3">
      <c r="A56" t="s">
        <v>222</v>
      </c>
      <c r="B56" t="s">
        <v>233</v>
      </c>
      <c r="C56" t="s">
        <v>52</v>
      </c>
      <c r="D56" t="s">
        <v>4</v>
      </c>
      <c r="E56" t="s">
        <v>62</v>
      </c>
      <c r="F56" t="s">
        <v>64</v>
      </c>
      <c r="G56" t="s">
        <v>129</v>
      </c>
      <c r="H56">
        <v>120</v>
      </c>
      <c r="I56" t="s">
        <v>71</v>
      </c>
      <c r="K56" t="s">
        <v>53</v>
      </c>
      <c r="L56" s="4">
        <v>17886</v>
      </c>
      <c r="M56" s="5" t="s">
        <v>118</v>
      </c>
      <c r="N56" s="2">
        <v>45549</v>
      </c>
      <c r="O56">
        <f t="shared" si="2"/>
        <v>45</v>
      </c>
      <c r="P56">
        <f t="shared" si="3"/>
        <v>0</v>
      </c>
      <c r="Q56" t="str">
        <f>IF(Table13[[#This Row],[مده التسليم (الفعليه)]]=0, "ملغي", IF(Table13[[#This Row],[مده التسليم (الفعليه)]]&gt;=Table13[[#This Row],[مده التسليم (المحدده)]], "تم في الموعد", "تأخر في التسليم"))</f>
        <v>ملغي</v>
      </c>
      <c r="R56">
        <v>45</v>
      </c>
      <c r="S56">
        <v>0</v>
      </c>
      <c r="T56" t="s">
        <v>272</v>
      </c>
      <c r="U56" s="2">
        <v>45594</v>
      </c>
      <c r="V56" s="2"/>
      <c r="W56" t="s">
        <v>97</v>
      </c>
    </row>
    <row r="57" spans="1:23" x14ac:dyDescent="0.3">
      <c r="A57" t="s">
        <v>222</v>
      </c>
      <c r="B57" t="s">
        <v>233</v>
      </c>
      <c r="C57" t="s">
        <v>52</v>
      </c>
      <c r="D57" t="s">
        <v>4</v>
      </c>
      <c r="E57" t="s">
        <v>62</v>
      </c>
      <c r="F57" t="s">
        <v>64</v>
      </c>
      <c r="G57" t="s">
        <v>129</v>
      </c>
      <c r="H57">
        <v>120</v>
      </c>
      <c r="I57" t="s">
        <v>71</v>
      </c>
      <c r="K57" t="s">
        <v>53</v>
      </c>
      <c r="L57" s="4">
        <v>17886</v>
      </c>
      <c r="M57" s="5" t="s">
        <v>118</v>
      </c>
      <c r="N57" s="2">
        <v>45549</v>
      </c>
      <c r="O57">
        <f t="shared" si="2"/>
        <v>45</v>
      </c>
      <c r="P57">
        <f t="shared" si="3"/>
        <v>0</v>
      </c>
      <c r="Q57" t="str">
        <f>IF(Table13[[#This Row],[مده التسليم (الفعليه)]]=0, "ملغي", IF(Table13[[#This Row],[مده التسليم (الفعليه)]]&gt;=Table13[[#This Row],[مده التسليم (المحدده)]], "تم في الموعد", "تأخر في التسليم"))</f>
        <v>ملغي</v>
      </c>
      <c r="R57">
        <v>45</v>
      </c>
      <c r="S57">
        <v>0</v>
      </c>
      <c r="T57" t="s">
        <v>272</v>
      </c>
      <c r="U57" s="2">
        <v>45594</v>
      </c>
      <c r="V57" s="2"/>
      <c r="W57" t="s">
        <v>97</v>
      </c>
    </row>
    <row r="58" spans="1:23" x14ac:dyDescent="0.3">
      <c r="A58" t="s">
        <v>144</v>
      </c>
      <c r="B58" t="s">
        <v>233</v>
      </c>
      <c r="C58" t="s">
        <v>27</v>
      </c>
      <c r="D58" t="s">
        <v>4</v>
      </c>
      <c r="E58" t="s">
        <v>62</v>
      </c>
      <c r="F58" t="s">
        <v>64</v>
      </c>
      <c r="G58" t="s">
        <v>134</v>
      </c>
      <c r="H58">
        <v>120</v>
      </c>
      <c r="I58" t="s">
        <v>71</v>
      </c>
      <c r="K58" t="s">
        <v>54</v>
      </c>
      <c r="L58" s="4">
        <v>10987</v>
      </c>
      <c r="M58" s="5" t="s">
        <v>118</v>
      </c>
      <c r="N58" s="2">
        <v>45549</v>
      </c>
      <c r="O58">
        <f t="shared" si="2"/>
        <v>45</v>
      </c>
      <c r="P58">
        <f t="shared" si="3"/>
        <v>29</v>
      </c>
      <c r="Q58" t="str">
        <f>IF(Table13[[#This Row],[مده التسليم (الفعليه)]]=0, "ملغي", IF(Table13[[#This Row],[مده التسليم (الفعليه)]]&gt;=Table13[[#This Row],[مده التسليم (المحدده)]], "تم في الموعد", "تأخر في التسليم"))</f>
        <v>تأخر في التسليم</v>
      </c>
      <c r="R58">
        <v>45</v>
      </c>
      <c r="S58">
        <v>29</v>
      </c>
      <c r="T58" t="s">
        <v>269</v>
      </c>
      <c r="U58" s="2">
        <v>45594</v>
      </c>
      <c r="V58" s="2">
        <v>45578</v>
      </c>
      <c r="W58" t="s">
        <v>130</v>
      </c>
    </row>
    <row r="59" spans="1:23" x14ac:dyDescent="0.3">
      <c r="A59" t="s">
        <v>144</v>
      </c>
      <c r="B59" t="s">
        <v>233</v>
      </c>
      <c r="C59" t="s">
        <v>27</v>
      </c>
      <c r="D59" t="s">
        <v>4</v>
      </c>
      <c r="E59" t="s">
        <v>62</v>
      </c>
      <c r="F59" t="s">
        <v>64</v>
      </c>
      <c r="G59" t="s">
        <v>134</v>
      </c>
      <c r="H59">
        <v>120</v>
      </c>
      <c r="I59" t="s">
        <v>71</v>
      </c>
      <c r="K59" t="s">
        <v>54</v>
      </c>
      <c r="L59" s="4">
        <v>10987</v>
      </c>
      <c r="M59" s="5" t="s">
        <v>118</v>
      </c>
      <c r="N59" s="2">
        <v>45549</v>
      </c>
      <c r="O59">
        <f t="shared" si="2"/>
        <v>45</v>
      </c>
      <c r="P59">
        <f t="shared" si="3"/>
        <v>29</v>
      </c>
      <c r="Q59" t="str">
        <f>IF(Table13[[#This Row],[مده التسليم (الفعليه)]]=0, "ملغي", IF(Table13[[#This Row],[مده التسليم (الفعليه)]]&gt;=Table13[[#This Row],[مده التسليم (المحدده)]], "تم في الموعد", "تأخر في التسليم"))</f>
        <v>تأخر في التسليم</v>
      </c>
      <c r="R59">
        <v>45</v>
      </c>
      <c r="S59">
        <v>29</v>
      </c>
      <c r="T59" t="s">
        <v>269</v>
      </c>
      <c r="U59" s="2">
        <v>45594</v>
      </c>
      <c r="V59" s="2">
        <v>45578</v>
      </c>
      <c r="W59" t="s">
        <v>130</v>
      </c>
    </row>
    <row r="60" spans="1:23" x14ac:dyDescent="0.3">
      <c r="A60" t="s">
        <v>223</v>
      </c>
      <c r="B60" t="s">
        <v>233</v>
      </c>
      <c r="C60" t="s">
        <v>55</v>
      </c>
      <c r="D60" t="s">
        <v>4</v>
      </c>
      <c r="E60" t="s">
        <v>123</v>
      </c>
      <c r="F60" t="s">
        <v>81</v>
      </c>
      <c r="K60" t="s">
        <v>24</v>
      </c>
      <c r="L60" s="4">
        <v>10319</v>
      </c>
      <c r="M60" s="5" t="s">
        <v>118</v>
      </c>
      <c r="N60" s="2">
        <v>45549</v>
      </c>
      <c r="O60">
        <f t="shared" si="2"/>
        <v>45</v>
      </c>
      <c r="P60">
        <f t="shared" si="3"/>
        <v>35</v>
      </c>
      <c r="Q60" t="str">
        <f>IF(Table13[[#This Row],[مده التسليم (الفعليه)]]=0, "ملغي", IF(Table13[[#This Row],[مده التسليم (الفعليه)]]&gt;=Table13[[#This Row],[مده التسليم (المحدده)]], "تم في الموعد", "تأخر في التسليم"))</f>
        <v>تأخر في التسليم</v>
      </c>
      <c r="R60">
        <v>45</v>
      </c>
      <c r="S60">
        <v>35</v>
      </c>
      <c r="T60" t="s">
        <v>269</v>
      </c>
      <c r="U60" s="2">
        <v>45594</v>
      </c>
      <c r="V60" s="2">
        <v>45584</v>
      </c>
      <c r="W60" t="s">
        <v>130</v>
      </c>
    </row>
    <row r="61" spans="1:23" x14ac:dyDescent="0.3">
      <c r="A61" t="s">
        <v>224</v>
      </c>
      <c r="B61" t="s">
        <v>233</v>
      </c>
      <c r="C61" t="s">
        <v>261</v>
      </c>
      <c r="D61" t="s">
        <v>4</v>
      </c>
      <c r="E61" t="s">
        <v>62</v>
      </c>
      <c r="F61" t="s">
        <v>70</v>
      </c>
      <c r="G61" t="s">
        <v>121</v>
      </c>
      <c r="H61">
        <v>120</v>
      </c>
      <c r="I61" t="s">
        <v>75</v>
      </c>
      <c r="K61" t="s">
        <v>46</v>
      </c>
      <c r="L61" s="4">
        <v>12999</v>
      </c>
      <c r="M61" s="5" t="s">
        <v>118</v>
      </c>
      <c r="N61" s="2">
        <v>45549</v>
      </c>
      <c r="O61">
        <f t="shared" si="2"/>
        <v>67</v>
      </c>
      <c r="P61">
        <f t="shared" si="3"/>
        <v>33</v>
      </c>
      <c r="Q61" t="str">
        <f>IF(Table13[[#This Row],[مده التسليم (الفعليه)]]=0, "ملغي", IF(Table13[[#This Row],[مده التسليم (الفعليه)]]&gt;=Table13[[#This Row],[مده التسليم (المحدده)]], "تم في الموعد", "تأخر في التسليم"))</f>
        <v>تأخر في التسليم</v>
      </c>
      <c r="R61">
        <v>67</v>
      </c>
      <c r="S61">
        <v>33</v>
      </c>
      <c r="T61" t="s">
        <v>269</v>
      </c>
      <c r="U61" s="2">
        <v>45616</v>
      </c>
      <c r="V61" s="2">
        <v>45582</v>
      </c>
      <c r="W61" t="s">
        <v>130</v>
      </c>
    </row>
    <row r="62" spans="1:23" x14ac:dyDescent="0.3">
      <c r="A62" t="s">
        <v>145</v>
      </c>
      <c r="B62" t="s">
        <v>233</v>
      </c>
      <c r="C62" t="s">
        <v>47</v>
      </c>
      <c r="D62" t="s">
        <v>4</v>
      </c>
      <c r="E62" t="s">
        <v>85</v>
      </c>
      <c r="F62" t="s">
        <v>69</v>
      </c>
      <c r="I62" t="s">
        <v>72</v>
      </c>
      <c r="J62" t="s">
        <v>75</v>
      </c>
      <c r="K62" t="s">
        <v>42</v>
      </c>
      <c r="L62" s="4">
        <v>21999</v>
      </c>
      <c r="M62" s="5" t="s">
        <v>118</v>
      </c>
      <c r="N62" s="2">
        <v>45549</v>
      </c>
      <c r="O62">
        <f t="shared" si="2"/>
        <v>67</v>
      </c>
      <c r="P62">
        <f t="shared" si="3"/>
        <v>0</v>
      </c>
      <c r="Q62" t="str">
        <f>IF(Table13[[#This Row],[مده التسليم (الفعليه)]]=0, "ملغي", IF(Table13[[#This Row],[مده التسليم (الفعليه)]]&gt;=Table13[[#This Row],[مده التسليم (المحدده)]], "تم في الموعد", "تأخر في التسليم"))</f>
        <v>ملغي</v>
      </c>
      <c r="R62">
        <v>67</v>
      </c>
      <c r="S62">
        <v>0</v>
      </c>
      <c r="T62" t="s">
        <v>272</v>
      </c>
      <c r="U62" s="2">
        <v>45616</v>
      </c>
      <c r="V62" s="2"/>
      <c r="W62" t="s">
        <v>97</v>
      </c>
    </row>
    <row r="63" spans="1:23" x14ac:dyDescent="0.3">
      <c r="A63" t="s">
        <v>225</v>
      </c>
      <c r="B63" t="s">
        <v>233</v>
      </c>
      <c r="C63" t="s">
        <v>35</v>
      </c>
      <c r="D63" t="s">
        <v>4</v>
      </c>
      <c r="E63" t="s">
        <v>62</v>
      </c>
      <c r="F63" t="s">
        <v>70</v>
      </c>
      <c r="G63" t="s">
        <v>124</v>
      </c>
      <c r="H63">
        <v>100</v>
      </c>
      <c r="I63" t="s">
        <v>75</v>
      </c>
      <c r="K63" t="s">
        <v>51</v>
      </c>
      <c r="L63" s="4">
        <v>12399</v>
      </c>
      <c r="M63" s="5" t="s">
        <v>118</v>
      </c>
      <c r="N63" s="2">
        <v>45549</v>
      </c>
      <c r="O63">
        <f t="shared" si="2"/>
        <v>67</v>
      </c>
      <c r="P63">
        <f t="shared" si="3"/>
        <v>17</v>
      </c>
      <c r="Q63" t="str">
        <f>IF(Table13[[#This Row],[مده التسليم (الفعليه)]]=0, "ملغي", IF(Table13[[#This Row],[مده التسليم (الفعليه)]]&gt;=Table13[[#This Row],[مده التسليم (المحدده)]], "تم في الموعد", "تأخر في التسليم"))</f>
        <v>تأخر في التسليم</v>
      </c>
      <c r="R63">
        <v>67</v>
      </c>
      <c r="S63">
        <v>17</v>
      </c>
      <c r="T63" t="s">
        <v>269</v>
      </c>
      <c r="U63" s="2">
        <v>45616</v>
      </c>
      <c r="V63" s="2">
        <v>45566</v>
      </c>
      <c r="W63" t="s">
        <v>130</v>
      </c>
    </row>
    <row r="64" spans="1:23" x14ac:dyDescent="0.3">
      <c r="A64" t="s">
        <v>146</v>
      </c>
      <c r="B64" t="s">
        <v>233</v>
      </c>
      <c r="C64" t="s">
        <v>27</v>
      </c>
      <c r="D64" t="s">
        <v>4</v>
      </c>
      <c r="E64" t="s">
        <v>85</v>
      </c>
      <c r="F64" t="s">
        <v>69</v>
      </c>
      <c r="I64" t="s">
        <v>72</v>
      </c>
      <c r="J64" t="s">
        <v>75</v>
      </c>
      <c r="K64" t="s">
        <v>42</v>
      </c>
      <c r="L64" s="4">
        <v>21999</v>
      </c>
      <c r="M64" s="5" t="s">
        <v>118</v>
      </c>
      <c r="N64" s="2">
        <v>45549</v>
      </c>
      <c r="O64">
        <f t="shared" si="2"/>
        <v>67</v>
      </c>
      <c r="P64">
        <f t="shared" si="3"/>
        <v>25</v>
      </c>
      <c r="Q64" t="str">
        <f>IF(Table13[[#This Row],[مده التسليم (الفعليه)]]=0, "ملغي", IF(Table13[[#This Row],[مده التسليم (الفعليه)]]&gt;=Table13[[#This Row],[مده التسليم (المحدده)]], "تم في الموعد", "تأخر في التسليم"))</f>
        <v>تأخر في التسليم</v>
      </c>
      <c r="R64">
        <v>67</v>
      </c>
      <c r="S64">
        <v>25</v>
      </c>
      <c r="T64" t="s">
        <v>269</v>
      </c>
      <c r="U64" s="2">
        <v>45616</v>
      </c>
      <c r="V64" s="2">
        <v>45574</v>
      </c>
      <c r="W64" t="s">
        <v>130</v>
      </c>
    </row>
    <row r="65" spans="1:23" x14ac:dyDescent="0.3">
      <c r="A65" t="s">
        <v>226</v>
      </c>
      <c r="B65" t="s">
        <v>233</v>
      </c>
      <c r="C65" t="s">
        <v>258</v>
      </c>
      <c r="D65" t="s">
        <v>4</v>
      </c>
      <c r="E65" t="s">
        <v>62</v>
      </c>
      <c r="F65" t="s">
        <v>70</v>
      </c>
      <c r="G65" t="s">
        <v>124</v>
      </c>
      <c r="H65">
        <v>80</v>
      </c>
      <c r="I65" t="s">
        <v>71</v>
      </c>
      <c r="K65" t="s">
        <v>56</v>
      </c>
      <c r="L65" s="4">
        <v>10999</v>
      </c>
      <c r="M65" s="5" t="s">
        <v>118</v>
      </c>
      <c r="N65" s="2">
        <v>45549</v>
      </c>
      <c r="O65">
        <f t="shared" si="2"/>
        <v>67</v>
      </c>
      <c r="P65">
        <f t="shared" si="3"/>
        <v>32</v>
      </c>
      <c r="Q65" t="str">
        <f>IF(Table13[[#This Row],[مده التسليم (الفعليه)]]=0, "ملغي", IF(Table13[[#This Row],[مده التسليم (الفعليه)]]&gt;=Table13[[#This Row],[مده التسليم (المحدده)]], "تم في الموعد", "تأخر في التسليم"))</f>
        <v>تأخر في التسليم</v>
      </c>
      <c r="R65">
        <v>67</v>
      </c>
      <c r="S65">
        <v>32</v>
      </c>
      <c r="T65" t="s">
        <v>269</v>
      </c>
      <c r="U65" s="2">
        <v>45616</v>
      </c>
      <c r="V65" s="2">
        <v>45581</v>
      </c>
      <c r="W65" t="s">
        <v>130</v>
      </c>
    </row>
    <row r="66" spans="1:23" x14ac:dyDescent="0.3">
      <c r="A66" t="s">
        <v>147</v>
      </c>
      <c r="B66" t="s">
        <v>233</v>
      </c>
      <c r="C66" t="s">
        <v>44</v>
      </c>
      <c r="D66" t="s">
        <v>4</v>
      </c>
      <c r="E66" t="s">
        <v>62</v>
      </c>
      <c r="F66" t="s">
        <v>70</v>
      </c>
      <c r="G66" t="s">
        <v>121</v>
      </c>
      <c r="H66">
        <v>80</v>
      </c>
      <c r="I66" t="s">
        <v>71</v>
      </c>
      <c r="L66" s="4">
        <v>10999</v>
      </c>
      <c r="M66" s="5" t="s">
        <v>118</v>
      </c>
      <c r="N66" s="2">
        <v>45550</v>
      </c>
      <c r="O66">
        <f t="shared" ref="O66:O97" si="4">IF(OR(ISBLANK(U66),ISBLANK(N66)),0,U66-N66)</f>
        <v>66</v>
      </c>
      <c r="P66">
        <f t="shared" ref="P66:P97" si="5">IF(OR(ISBLANK(V66),ISBLANK(N66)),0,V66-N66)</f>
        <v>31</v>
      </c>
      <c r="Q66" t="str">
        <f>IF(Table13[[#This Row],[مده التسليم (الفعليه)]]=0, "ملغي", IF(Table13[[#This Row],[مده التسليم (الفعليه)]]&gt;=Table13[[#This Row],[مده التسليم (المحدده)]], "تم في الموعد", "تأخر في التسليم"))</f>
        <v>تأخر في التسليم</v>
      </c>
      <c r="R66">
        <v>66</v>
      </c>
      <c r="S66">
        <v>31</v>
      </c>
      <c r="T66" t="s">
        <v>269</v>
      </c>
      <c r="U66" s="2">
        <v>45616</v>
      </c>
      <c r="V66" s="2">
        <v>45581</v>
      </c>
      <c r="W66" t="s">
        <v>130</v>
      </c>
    </row>
    <row r="67" spans="1:23" x14ac:dyDescent="0.3">
      <c r="A67" t="s">
        <v>147</v>
      </c>
      <c r="B67" t="s">
        <v>233</v>
      </c>
      <c r="C67" t="s">
        <v>44</v>
      </c>
      <c r="D67" t="s">
        <v>4</v>
      </c>
      <c r="E67" t="s">
        <v>62</v>
      </c>
      <c r="F67" t="s">
        <v>70</v>
      </c>
      <c r="G67" t="s">
        <v>121</v>
      </c>
      <c r="H67">
        <v>80</v>
      </c>
      <c r="I67" t="s">
        <v>71</v>
      </c>
      <c r="L67" s="4">
        <v>10999</v>
      </c>
      <c r="M67" s="5" t="s">
        <v>118</v>
      </c>
      <c r="N67" s="2">
        <v>45550</v>
      </c>
      <c r="O67">
        <f t="shared" si="4"/>
        <v>66</v>
      </c>
      <c r="P67">
        <f t="shared" si="5"/>
        <v>31</v>
      </c>
      <c r="Q67" t="str">
        <f>IF(Table13[[#This Row],[مده التسليم (الفعليه)]]=0, "ملغي", IF(Table13[[#This Row],[مده التسليم (الفعليه)]]&gt;=Table13[[#This Row],[مده التسليم (المحدده)]], "تم في الموعد", "تأخر في التسليم"))</f>
        <v>تأخر في التسليم</v>
      </c>
      <c r="R67">
        <v>66</v>
      </c>
      <c r="S67">
        <v>31</v>
      </c>
      <c r="T67" t="s">
        <v>269</v>
      </c>
      <c r="U67" s="2">
        <v>45616</v>
      </c>
      <c r="V67" s="2">
        <v>45581</v>
      </c>
      <c r="W67" t="s">
        <v>130</v>
      </c>
    </row>
    <row r="68" spans="1:23" x14ac:dyDescent="0.3">
      <c r="A68" t="s">
        <v>148</v>
      </c>
      <c r="B68" t="s">
        <v>233</v>
      </c>
      <c r="C68" t="s">
        <v>264</v>
      </c>
      <c r="D68" t="s">
        <v>4</v>
      </c>
      <c r="E68" t="s">
        <v>85</v>
      </c>
      <c r="F68" t="s">
        <v>69</v>
      </c>
      <c r="I68" t="s">
        <v>72</v>
      </c>
      <c r="J68" t="s">
        <v>75</v>
      </c>
      <c r="L68" s="4">
        <v>21999</v>
      </c>
      <c r="M68" s="5" t="s">
        <v>118</v>
      </c>
      <c r="N68" s="2">
        <v>45550</v>
      </c>
      <c r="O68">
        <f t="shared" si="4"/>
        <v>66</v>
      </c>
      <c r="P68">
        <f t="shared" si="5"/>
        <v>34</v>
      </c>
      <c r="Q68" t="str">
        <f>IF(Table13[[#This Row],[مده التسليم (الفعليه)]]=0, "ملغي", IF(Table13[[#This Row],[مده التسليم (الفعليه)]]&gt;=Table13[[#This Row],[مده التسليم (المحدده)]], "تم في الموعد", "تأخر في التسليم"))</f>
        <v>تأخر في التسليم</v>
      </c>
      <c r="R68">
        <v>66</v>
      </c>
      <c r="S68">
        <v>34</v>
      </c>
      <c r="T68" t="s">
        <v>269</v>
      </c>
      <c r="U68" s="2">
        <v>45616</v>
      </c>
      <c r="V68" s="2">
        <v>45584</v>
      </c>
      <c r="W68" t="s">
        <v>130</v>
      </c>
    </row>
    <row r="69" spans="1:23" hidden="1" x14ac:dyDescent="0.3">
      <c r="A69" t="s">
        <v>149</v>
      </c>
      <c r="B69" t="s">
        <v>233</v>
      </c>
      <c r="C69" t="s">
        <v>59</v>
      </c>
      <c r="D69" t="s">
        <v>4</v>
      </c>
      <c r="E69" t="s">
        <v>123</v>
      </c>
      <c r="F69" t="s">
        <v>81</v>
      </c>
      <c r="L69" s="4">
        <v>7849</v>
      </c>
      <c r="M69" s="5" t="s">
        <v>236</v>
      </c>
      <c r="N69" s="2">
        <v>45551</v>
      </c>
      <c r="O69">
        <f t="shared" si="4"/>
        <v>44</v>
      </c>
      <c r="P69">
        <f t="shared" si="5"/>
        <v>59</v>
      </c>
      <c r="Q69" t="str">
        <f>IF(Table13[[#This Row],[مده التسليم (الفعليه)]]=0, "ملغي", IF(Table13[[#This Row],[مده التسليم (الفعليه)]]&gt;=Table13[[#This Row],[مده التسليم (المحدده)]], "تم في الموعد", "تأخر في التسليم"))</f>
        <v>تم في الموعد</v>
      </c>
      <c r="R69">
        <v>44</v>
      </c>
      <c r="S69">
        <v>59</v>
      </c>
      <c r="T69" t="s">
        <v>270</v>
      </c>
      <c r="U69" s="2">
        <v>45595</v>
      </c>
      <c r="V69" s="2">
        <v>45610</v>
      </c>
      <c r="W69" t="s">
        <v>130</v>
      </c>
    </row>
    <row r="70" spans="1:23" hidden="1" x14ac:dyDescent="0.3">
      <c r="A70" t="s">
        <v>135</v>
      </c>
      <c r="B70" t="s">
        <v>234</v>
      </c>
      <c r="C70" t="s">
        <v>265</v>
      </c>
      <c r="D70" t="s">
        <v>250</v>
      </c>
      <c r="E70" t="s">
        <v>62</v>
      </c>
      <c r="F70" t="s">
        <v>70</v>
      </c>
      <c r="G70" t="s">
        <v>121</v>
      </c>
      <c r="H70">
        <v>80</v>
      </c>
      <c r="I70" t="s">
        <v>71</v>
      </c>
      <c r="L70" s="4">
        <v>5074</v>
      </c>
      <c r="M70" s="5" t="s">
        <v>136</v>
      </c>
      <c r="N70" s="2">
        <v>45556</v>
      </c>
      <c r="O70">
        <f t="shared" si="4"/>
        <v>14</v>
      </c>
      <c r="P70">
        <f t="shared" si="5"/>
        <v>21</v>
      </c>
      <c r="Q70" t="str">
        <f>IF(Table13[[#This Row],[مده التسليم (الفعليه)]]=0, "ملغي", IF(Table13[[#This Row],[مده التسليم (الفعليه)]]&gt;=Table13[[#This Row],[مده التسليم (المحدده)]], "تم في الموعد", "تأخر في التسليم"))</f>
        <v>تم في الموعد</v>
      </c>
      <c r="R70">
        <v>14</v>
      </c>
      <c r="S70">
        <v>21</v>
      </c>
      <c r="T70" t="s">
        <v>270</v>
      </c>
      <c r="U70" s="2">
        <v>45570</v>
      </c>
      <c r="V70" s="2">
        <v>45577</v>
      </c>
      <c r="W70" t="s">
        <v>130</v>
      </c>
    </row>
    <row r="71" spans="1:23" hidden="1" x14ac:dyDescent="0.3">
      <c r="A71" t="s">
        <v>14</v>
      </c>
      <c r="B71" t="s">
        <v>234</v>
      </c>
      <c r="C71" t="s">
        <v>13</v>
      </c>
      <c r="D71" t="s">
        <v>14</v>
      </c>
      <c r="E71" t="s">
        <v>62</v>
      </c>
      <c r="F71" t="s">
        <v>70</v>
      </c>
      <c r="G71" t="s">
        <v>128</v>
      </c>
      <c r="H71">
        <v>100</v>
      </c>
      <c r="I71" t="s">
        <v>150</v>
      </c>
      <c r="L71" s="4">
        <v>6250</v>
      </c>
      <c r="M71" s="5" t="s">
        <v>136</v>
      </c>
      <c r="N71" s="2">
        <v>45558</v>
      </c>
      <c r="O71">
        <f t="shared" si="4"/>
        <v>15</v>
      </c>
      <c r="P71">
        <f t="shared" si="5"/>
        <v>24</v>
      </c>
      <c r="Q71" t="str">
        <f>IF(Table13[[#This Row],[مده التسليم (الفعليه)]]=0, "ملغي", IF(Table13[[#This Row],[مده التسليم (الفعليه)]]&gt;=Table13[[#This Row],[مده التسليم (المحدده)]], "تم في الموعد", "تأخر في التسليم"))</f>
        <v>تم في الموعد</v>
      </c>
      <c r="R71">
        <v>15</v>
      </c>
      <c r="S71">
        <v>24</v>
      </c>
      <c r="T71" t="s">
        <v>270</v>
      </c>
      <c r="U71" s="2">
        <v>45573</v>
      </c>
      <c r="V71" s="2">
        <v>45582</v>
      </c>
      <c r="W71" t="s">
        <v>130</v>
      </c>
    </row>
    <row r="72" spans="1:23" hidden="1" x14ac:dyDescent="0.3">
      <c r="A72" t="s">
        <v>14</v>
      </c>
      <c r="B72" t="s">
        <v>234</v>
      </c>
      <c r="C72" t="s">
        <v>13</v>
      </c>
      <c r="D72" t="s">
        <v>14</v>
      </c>
      <c r="E72" t="s">
        <v>62</v>
      </c>
      <c r="F72" t="s">
        <v>70</v>
      </c>
      <c r="G72" t="s">
        <v>128</v>
      </c>
      <c r="H72">
        <v>100</v>
      </c>
      <c r="I72" t="s">
        <v>150</v>
      </c>
      <c r="L72" s="4">
        <v>6250</v>
      </c>
      <c r="M72" s="5" t="s">
        <v>136</v>
      </c>
      <c r="N72" s="2">
        <v>45558</v>
      </c>
      <c r="O72">
        <f t="shared" si="4"/>
        <v>15</v>
      </c>
      <c r="P72">
        <f t="shared" si="5"/>
        <v>24</v>
      </c>
      <c r="Q72" t="str">
        <f>IF(Table13[[#This Row],[مده التسليم (الفعليه)]]=0, "ملغي", IF(Table13[[#This Row],[مده التسليم (الفعليه)]]&gt;=Table13[[#This Row],[مده التسليم (المحدده)]], "تم في الموعد", "تأخر في التسليم"))</f>
        <v>تم في الموعد</v>
      </c>
      <c r="R72">
        <v>15</v>
      </c>
      <c r="S72">
        <v>24</v>
      </c>
      <c r="T72" t="s">
        <v>270</v>
      </c>
      <c r="U72" s="2">
        <v>45573</v>
      </c>
      <c r="V72" s="2">
        <v>45582</v>
      </c>
      <c r="W72" t="s">
        <v>130</v>
      </c>
    </row>
    <row r="73" spans="1:23" hidden="1" x14ac:dyDescent="0.3">
      <c r="A73" t="s">
        <v>151</v>
      </c>
      <c r="B73" t="s">
        <v>233</v>
      </c>
      <c r="C73" t="s">
        <v>13</v>
      </c>
      <c r="D73" t="s">
        <v>4</v>
      </c>
      <c r="E73" t="s">
        <v>62</v>
      </c>
      <c r="F73" t="s">
        <v>64</v>
      </c>
      <c r="G73" t="s">
        <v>129</v>
      </c>
      <c r="H73">
        <v>120</v>
      </c>
      <c r="I73" t="s">
        <v>71</v>
      </c>
      <c r="L73" s="4">
        <v>8943</v>
      </c>
      <c r="M73" s="5" t="s">
        <v>236</v>
      </c>
      <c r="N73" s="2">
        <v>45561</v>
      </c>
      <c r="O73">
        <f t="shared" si="4"/>
        <v>45</v>
      </c>
      <c r="P73">
        <f t="shared" si="5"/>
        <v>14</v>
      </c>
      <c r="Q73" t="str">
        <f>IF(Table13[[#This Row],[مده التسليم (الفعليه)]]=0, "ملغي", IF(Table13[[#This Row],[مده التسليم (الفعليه)]]&gt;=Table13[[#This Row],[مده التسليم (المحدده)]], "تم في الموعد", "تأخر في التسليم"))</f>
        <v>تأخر في التسليم</v>
      </c>
      <c r="R73">
        <v>45</v>
      </c>
      <c r="S73">
        <v>14</v>
      </c>
      <c r="T73" t="s">
        <v>269</v>
      </c>
      <c r="U73" s="2">
        <v>45606</v>
      </c>
      <c r="V73" s="2">
        <v>45575</v>
      </c>
      <c r="W73" t="s">
        <v>130</v>
      </c>
    </row>
    <row r="74" spans="1:23" hidden="1" x14ac:dyDescent="0.3">
      <c r="A74" t="s">
        <v>152</v>
      </c>
      <c r="B74" t="s">
        <v>233</v>
      </c>
      <c r="C74" t="s">
        <v>232</v>
      </c>
      <c r="D74" t="s">
        <v>4</v>
      </c>
      <c r="E74" t="s">
        <v>123</v>
      </c>
      <c r="F74" t="s">
        <v>83</v>
      </c>
      <c r="L74" s="4">
        <v>8349</v>
      </c>
      <c r="M74" s="5" t="s">
        <v>236</v>
      </c>
      <c r="N74" s="2">
        <v>45561</v>
      </c>
      <c r="O74">
        <f t="shared" si="4"/>
        <v>45</v>
      </c>
      <c r="P74">
        <f t="shared" si="5"/>
        <v>0</v>
      </c>
      <c r="Q74" t="str">
        <f>IF(Table13[[#This Row],[مده التسليم (الفعليه)]]=0, "ملغي", IF(Table13[[#This Row],[مده التسليم (الفعليه)]]&gt;=Table13[[#This Row],[مده التسليم (المحدده)]], "تم في الموعد", "تأخر في التسليم"))</f>
        <v>ملغي</v>
      </c>
      <c r="R74">
        <v>45</v>
      </c>
      <c r="S74">
        <v>0</v>
      </c>
      <c r="T74" t="s">
        <v>272</v>
      </c>
      <c r="U74" s="2">
        <v>45606</v>
      </c>
      <c r="V74" s="2"/>
      <c r="W74" t="s">
        <v>97</v>
      </c>
    </row>
    <row r="75" spans="1:23" x14ac:dyDescent="0.3">
      <c r="A75" t="s">
        <v>20</v>
      </c>
      <c r="B75" t="s">
        <v>234</v>
      </c>
      <c r="C75" t="s">
        <v>112</v>
      </c>
      <c r="D75" t="s">
        <v>20</v>
      </c>
      <c r="E75" t="s">
        <v>85</v>
      </c>
      <c r="F75" t="s">
        <v>153</v>
      </c>
      <c r="J75" t="s">
        <v>93</v>
      </c>
      <c r="L75" s="4">
        <v>14950</v>
      </c>
      <c r="M75" s="5" t="s">
        <v>118</v>
      </c>
      <c r="N75" s="2">
        <v>45561</v>
      </c>
      <c r="O75">
        <f t="shared" si="4"/>
        <v>18</v>
      </c>
      <c r="P75">
        <f t="shared" si="5"/>
        <v>17</v>
      </c>
      <c r="Q75" t="str">
        <f>IF(Table13[[#This Row],[مده التسليم (الفعليه)]]=0, "ملغي", IF(Table13[[#This Row],[مده التسليم (الفعليه)]]&gt;=Table13[[#This Row],[مده التسليم (المحدده)]], "تم في الموعد", "تأخر في التسليم"))</f>
        <v>تأخر في التسليم</v>
      </c>
      <c r="R75">
        <v>18</v>
      </c>
      <c r="S75">
        <v>17</v>
      </c>
      <c r="T75" t="s">
        <v>269</v>
      </c>
      <c r="U75" s="2">
        <v>45579</v>
      </c>
      <c r="V75" s="2">
        <v>45578</v>
      </c>
      <c r="W75" t="s">
        <v>130</v>
      </c>
    </row>
    <row r="76" spans="1:23" hidden="1" x14ac:dyDescent="0.3">
      <c r="A76" t="s">
        <v>20</v>
      </c>
      <c r="B76" t="s">
        <v>234</v>
      </c>
      <c r="C76" t="s">
        <v>249</v>
      </c>
      <c r="D76" t="s">
        <v>20</v>
      </c>
      <c r="E76" t="s">
        <v>62</v>
      </c>
      <c r="F76" t="s">
        <v>70</v>
      </c>
      <c r="G76" t="s">
        <v>128</v>
      </c>
      <c r="H76">
        <v>100</v>
      </c>
      <c r="I76" t="s">
        <v>86</v>
      </c>
      <c r="L76" s="4">
        <v>9208</v>
      </c>
      <c r="M76" s="5" t="s">
        <v>236</v>
      </c>
      <c r="N76" s="2">
        <v>45561</v>
      </c>
      <c r="O76">
        <f t="shared" si="4"/>
        <v>18</v>
      </c>
      <c r="P76">
        <f t="shared" si="5"/>
        <v>0</v>
      </c>
      <c r="Q76" t="str">
        <f>IF(Table13[[#This Row],[مده التسليم (الفعليه)]]=0, "ملغي", IF(Table13[[#This Row],[مده التسليم (الفعليه)]]&gt;=Table13[[#This Row],[مده التسليم (المحدده)]], "تم في الموعد", "تأخر في التسليم"))</f>
        <v>ملغي</v>
      </c>
      <c r="R76">
        <v>18</v>
      </c>
      <c r="S76">
        <v>0</v>
      </c>
      <c r="T76" t="s">
        <v>272</v>
      </c>
      <c r="U76" s="2">
        <v>45579</v>
      </c>
      <c r="V76" s="2"/>
      <c r="W76" t="s">
        <v>97</v>
      </c>
    </row>
    <row r="77" spans="1:23" x14ac:dyDescent="0.3">
      <c r="A77" t="s">
        <v>20</v>
      </c>
      <c r="B77" t="s">
        <v>234</v>
      </c>
      <c r="C77" t="s">
        <v>249</v>
      </c>
      <c r="D77" t="s">
        <v>20</v>
      </c>
      <c r="E77" t="s">
        <v>62</v>
      </c>
      <c r="F77" t="s">
        <v>64</v>
      </c>
      <c r="G77" t="s">
        <v>134</v>
      </c>
      <c r="H77">
        <v>120</v>
      </c>
      <c r="I77" t="s">
        <v>71</v>
      </c>
      <c r="L77" s="4">
        <v>7433</v>
      </c>
      <c r="M77" s="5" t="s">
        <v>118</v>
      </c>
      <c r="N77" s="2">
        <v>45564</v>
      </c>
      <c r="O77">
        <f t="shared" si="4"/>
        <v>21</v>
      </c>
      <c r="P77">
        <f t="shared" si="5"/>
        <v>22</v>
      </c>
      <c r="Q77" t="str">
        <f>IF(Table13[[#This Row],[مده التسليم (الفعليه)]]=0, "ملغي", IF(Table13[[#This Row],[مده التسليم (الفعليه)]]&gt;=Table13[[#This Row],[مده التسليم (المحدده)]], "تم في الموعد", "تأخر في التسليم"))</f>
        <v>تم في الموعد</v>
      </c>
      <c r="R77">
        <v>21</v>
      </c>
      <c r="S77">
        <v>22</v>
      </c>
      <c r="T77" t="s">
        <v>270</v>
      </c>
      <c r="U77" s="2">
        <v>45585</v>
      </c>
      <c r="V77" s="2">
        <v>45586</v>
      </c>
      <c r="W77" t="s">
        <v>130</v>
      </c>
    </row>
    <row r="78" spans="1:23" hidden="1" x14ac:dyDescent="0.3">
      <c r="A78" t="s">
        <v>135</v>
      </c>
      <c r="B78" t="s">
        <v>234</v>
      </c>
      <c r="C78" t="s">
        <v>265</v>
      </c>
      <c r="D78" t="s">
        <v>250</v>
      </c>
      <c r="E78" t="s">
        <v>62</v>
      </c>
      <c r="F78" t="s">
        <v>64</v>
      </c>
      <c r="G78" t="s">
        <v>129</v>
      </c>
      <c r="H78">
        <v>120</v>
      </c>
      <c r="I78" t="s">
        <v>71</v>
      </c>
      <c r="L78" s="4">
        <v>4020</v>
      </c>
      <c r="M78" s="5" t="s">
        <v>136</v>
      </c>
      <c r="N78" s="2">
        <v>45564</v>
      </c>
      <c r="O78">
        <f t="shared" si="4"/>
        <v>13</v>
      </c>
      <c r="P78">
        <f t="shared" si="5"/>
        <v>13</v>
      </c>
      <c r="Q78" t="str">
        <f>IF(Table13[[#This Row],[مده التسليم (الفعليه)]]=0, "ملغي", IF(Table13[[#This Row],[مده التسليم (الفعليه)]]&gt;=Table13[[#This Row],[مده التسليم (المحدده)]], "تم في الموعد", "تأخر في التسليم"))</f>
        <v>تم في الموعد</v>
      </c>
      <c r="R78">
        <v>13</v>
      </c>
      <c r="S78">
        <v>13</v>
      </c>
      <c r="T78" t="s">
        <v>270</v>
      </c>
      <c r="U78" s="2">
        <v>45577</v>
      </c>
      <c r="V78" s="2">
        <v>45577</v>
      </c>
      <c r="W78" t="s">
        <v>130</v>
      </c>
    </row>
    <row r="79" spans="1:23" hidden="1" x14ac:dyDescent="0.3">
      <c r="A79" t="s">
        <v>154</v>
      </c>
      <c r="B79" t="s">
        <v>233</v>
      </c>
      <c r="C79" t="s">
        <v>87</v>
      </c>
      <c r="D79" t="s">
        <v>87</v>
      </c>
      <c r="E79" t="s">
        <v>62</v>
      </c>
      <c r="F79" t="s">
        <v>70</v>
      </c>
      <c r="G79" t="s">
        <v>155</v>
      </c>
      <c r="H79">
        <v>100</v>
      </c>
      <c r="I79" t="s">
        <v>88</v>
      </c>
      <c r="L79" s="4">
        <v>8544.9054400000005</v>
      </c>
      <c r="M79" s="5" t="s">
        <v>235</v>
      </c>
      <c r="N79" s="2">
        <v>45566</v>
      </c>
      <c r="O79">
        <f t="shared" si="4"/>
        <v>8</v>
      </c>
      <c r="P79">
        <f t="shared" si="5"/>
        <v>8</v>
      </c>
      <c r="Q79" t="str">
        <f>IF(Table13[[#This Row],[مده التسليم (الفعليه)]]=0, "ملغي", IF(Table13[[#This Row],[مده التسليم (الفعليه)]]&gt;=Table13[[#This Row],[مده التسليم (المحدده)]], "تم في الموعد", "تأخر في التسليم"))</f>
        <v>تم في الموعد</v>
      </c>
      <c r="R79">
        <v>8</v>
      </c>
      <c r="S79">
        <v>8</v>
      </c>
      <c r="T79" t="s">
        <v>270</v>
      </c>
      <c r="U79" s="2">
        <v>45574</v>
      </c>
      <c r="V79" s="2">
        <v>45574</v>
      </c>
      <c r="W79" t="s">
        <v>130</v>
      </c>
    </row>
    <row r="80" spans="1:23" hidden="1" x14ac:dyDescent="0.3">
      <c r="A80" t="s">
        <v>154</v>
      </c>
      <c r="B80" t="s">
        <v>233</v>
      </c>
      <c r="C80" t="s">
        <v>87</v>
      </c>
      <c r="D80" t="s">
        <v>87</v>
      </c>
      <c r="E80" t="s">
        <v>62</v>
      </c>
      <c r="F80" t="s">
        <v>63</v>
      </c>
      <c r="I80" t="s">
        <v>156</v>
      </c>
      <c r="J80" t="s">
        <v>91</v>
      </c>
      <c r="L80" s="4">
        <v>4600</v>
      </c>
      <c r="M80" s="5" t="s">
        <v>235</v>
      </c>
      <c r="N80" s="2">
        <v>45566</v>
      </c>
      <c r="O80">
        <f t="shared" si="4"/>
        <v>8</v>
      </c>
      <c r="P80">
        <f t="shared" si="5"/>
        <v>8</v>
      </c>
      <c r="Q80" t="str">
        <f>IF(Table13[[#This Row],[مده التسليم (الفعليه)]]=0, "ملغي", IF(Table13[[#This Row],[مده التسليم (الفعليه)]]&gt;=Table13[[#This Row],[مده التسليم (المحدده)]], "تم في الموعد", "تأخر في التسليم"))</f>
        <v>تم في الموعد</v>
      </c>
      <c r="R80">
        <v>8</v>
      </c>
      <c r="S80">
        <v>8</v>
      </c>
      <c r="T80" t="s">
        <v>270</v>
      </c>
      <c r="U80" s="2">
        <v>45574</v>
      </c>
      <c r="V80" s="2">
        <v>45574</v>
      </c>
      <c r="W80" t="s">
        <v>130</v>
      </c>
    </row>
    <row r="81" spans="1:23" hidden="1" x14ac:dyDescent="0.3">
      <c r="A81" t="s">
        <v>154</v>
      </c>
      <c r="B81" t="s">
        <v>233</v>
      </c>
      <c r="C81" t="s">
        <v>87</v>
      </c>
      <c r="D81" t="s">
        <v>87</v>
      </c>
      <c r="E81" t="s">
        <v>85</v>
      </c>
      <c r="F81" t="s">
        <v>89</v>
      </c>
      <c r="I81" t="s">
        <v>72</v>
      </c>
      <c r="J81" t="s">
        <v>90</v>
      </c>
      <c r="L81" s="4">
        <v>10000</v>
      </c>
      <c r="M81" s="5" t="s">
        <v>235</v>
      </c>
      <c r="N81" s="2">
        <v>45566</v>
      </c>
      <c r="O81">
        <f t="shared" si="4"/>
        <v>8</v>
      </c>
      <c r="P81">
        <f t="shared" si="5"/>
        <v>8</v>
      </c>
      <c r="Q81" t="str">
        <f>IF(Table13[[#This Row],[مده التسليم (الفعليه)]]=0, "ملغي", IF(Table13[[#This Row],[مده التسليم (الفعليه)]]&gt;=Table13[[#This Row],[مده التسليم (المحدده)]], "تم في الموعد", "تأخر في التسليم"))</f>
        <v>تم في الموعد</v>
      </c>
      <c r="R81">
        <v>8</v>
      </c>
      <c r="S81">
        <v>8</v>
      </c>
      <c r="T81" t="s">
        <v>270</v>
      </c>
      <c r="U81" s="2">
        <v>45574</v>
      </c>
      <c r="V81" s="2">
        <v>45574</v>
      </c>
      <c r="W81" t="s">
        <v>130</v>
      </c>
    </row>
    <row r="82" spans="1:23" hidden="1" x14ac:dyDescent="0.3">
      <c r="A82" t="s">
        <v>154</v>
      </c>
      <c r="B82" t="s">
        <v>233</v>
      </c>
      <c r="C82" t="s">
        <v>87</v>
      </c>
      <c r="D82" t="s">
        <v>87</v>
      </c>
      <c r="E82" t="s">
        <v>92</v>
      </c>
      <c r="F82" t="s">
        <v>249</v>
      </c>
      <c r="I82" t="s">
        <v>72</v>
      </c>
      <c r="J82" t="s">
        <v>93</v>
      </c>
      <c r="M82" s="5" t="s">
        <v>235</v>
      </c>
      <c r="N82" s="2">
        <v>45566</v>
      </c>
      <c r="O82">
        <f t="shared" si="4"/>
        <v>8</v>
      </c>
      <c r="P82">
        <f t="shared" si="5"/>
        <v>8</v>
      </c>
      <c r="Q82" t="str">
        <f>IF(Table13[[#This Row],[مده التسليم (الفعليه)]]=0, "ملغي", IF(Table13[[#This Row],[مده التسليم (الفعليه)]]&gt;=Table13[[#This Row],[مده التسليم (المحدده)]], "تم في الموعد", "تأخر في التسليم"))</f>
        <v>تم في الموعد</v>
      </c>
      <c r="R82">
        <v>8</v>
      </c>
      <c r="S82">
        <v>8</v>
      </c>
      <c r="T82" t="s">
        <v>270</v>
      </c>
      <c r="U82" s="2">
        <v>45574</v>
      </c>
      <c r="V82" s="2">
        <v>45574</v>
      </c>
      <c r="W82" t="s">
        <v>130</v>
      </c>
    </row>
    <row r="83" spans="1:23" hidden="1" x14ac:dyDescent="0.3">
      <c r="A83" t="s">
        <v>157</v>
      </c>
      <c r="B83" t="s">
        <v>233</v>
      </c>
      <c r="C83" t="s">
        <v>94</v>
      </c>
      <c r="D83" t="s">
        <v>4</v>
      </c>
      <c r="E83" t="s">
        <v>62</v>
      </c>
      <c r="F83" t="s">
        <v>63</v>
      </c>
      <c r="I83" t="s">
        <v>72</v>
      </c>
      <c r="J83" t="s">
        <v>72</v>
      </c>
      <c r="L83" s="4">
        <v>8899</v>
      </c>
      <c r="M83" s="5" t="s">
        <v>236</v>
      </c>
      <c r="N83" s="2">
        <v>45568</v>
      </c>
      <c r="O83">
        <f t="shared" si="4"/>
        <v>45</v>
      </c>
      <c r="P83">
        <f t="shared" si="5"/>
        <v>0</v>
      </c>
      <c r="Q83" t="str">
        <f>IF(Table13[[#This Row],[مده التسليم (الفعليه)]]=0, "ملغي", IF(Table13[[#This Row],[مده التسليم (الفعليه)]]&gt;=Table13[[#This Row],[مده التسليم (المحدده)]], "تم في الموعد", "تأخر في التسليم"))</f>
        <v>ملغي</v>
      </c>
      <c r="R83">
        <v>45</v>
      </c>
      <c r="S83">
        <v>0</v>
      </c>
      <c r="T83" t="s">
        <v>272</v>
      </c>
      <c r="U83" s="2">
        <v>45613</v>
      </c>
      <c r="V83" s="2"/>
      <c r="W83" t="s">
        <v>97</v>
      </c>
    </row>
    <row r="84" spans="1:23" x14ac:dyDescent="0.3">
      <c r="A84" t="s">
        <v>20</v>
      </c>
      <c r="B84" t="s">
        <v>234</v>
      </c>
      <c r="C84" t="s">
        <v>158</v>
      </c>
      <c r="D84" t="s">
        <v>20</v>
      </c>
      <c r="E84" t="s">
        <v>85</v>
      </c>
      <c r="F84" t="s">
        <v>153</v>
      </c>
      <c r="I84" t="s">
        <v>86</v>
      </c>
      <c r="J84" t="s">
        <v>95</v>
      </c>
      <c r="L84" s="4">
        <v>14550</v>
      </c>
      <c r="M84" s="5" t="s">
        <v>118</v>
      </c>
      <c r="N84" s="2">
        <v>45573</v>
      </c>
      <c r="O84">
        <f t="shared" si="4"/>
        <v>21</v>
      </c>
      <c r="P84">
        <f t="shared" si="5"/>
        <v>22</v>
      </c>
      <c r="Q84" t="str">
        <f>IF(Table13[[#This Row],[مده التسليم (الفعليه)]]=0, "ملغي", IF(Table13[[#This Row],[مده التسليم (الفعليه)]]&gt;=Table13[[#This Row],[مده التسليم (المحدده)]], "تم في الموعد", "تأخر في التسليم"))</f>
        <v>تم في الموعد</v>
      </c>
      <c r="R84">
        <v>21</v>
      </c>
      <c r="S84">
        <v>22</v>
      </c>
      <c r="T84" t="s">
        <v>270</v>
      </c>
      <c r="U84" s="2">
        <v>45594</v>
      </c>
      <c r="V84" s="2">
        <v>45595</v>
      </c>
      <c r="W84" t="s">
        <v>130</v>
      </c>
    </row>
    <row r="85" spans="1:23" x14ac:dyDescent="0.3">
      <c r="A85" t="s">
        <v>20</v>
      </c>
      <c r="B85" t="s">
        <v>234</v>
      </c>
      <c r="C85" t="s">
        <v>232</v>
      </c>
      <c r="D85" t="s">
        <v>20</v>
      </c>
      <c r="E85" t="s">
        <v>85</v>
      </c>
      <c r="F85" t="s">
        <v>153</v>
      </c>
      <c r="I85" t="s">
        <v>86</v>
      </c>
      <c r="J85" t="s">
        <v>95</v>
      </c>
      <c r="L85" s="4">
        <v>14550</v>
      </c>
      <c r="M85" s="5" t="s">
        <v>118</v>
      </c>
      <c r="N85" s="2">
        <v>45572</v>
      </c>
      <c r="O85">
        <f t="shared" si="4"/>
        <v>22</v>
      </c>
      <c r="P85">
        <f t="shared" si="5"/>
        <v>8</v>
      </c>
      <c r="Q85" t="str">
        <f>IF(Table13[[#This Row],[مده التسليم (الفعليه)]]=0, "ملغي", IF(Table13[[#This Row],[مده التسليم (الفعليه)]]&gt;=Table13[[#This Row],[مده التسليم (المحدده)]], "تم في الموعد", "تأخر في التسليم"))</f>
        <v>تأخر في التسليم</v>
      </c>
      <c r="R85">
        <v>22</v>
      </c>
      <c r="S85">
        <v>8</v>
      </c>
      <c r="T85" t="s">
        <v>269</v>
      </c>
      <c r="U85" s="2">
        <v>45594</v>
      </c>
      <c r="V85" s="2">
        <v>45580</v>
      </c>
      <c r="W85" t="s">
        <v>130</v>
      </c>
    </row>
    <row r="86" spans="1:23" hidden="1" x14ac:dyDescent="0.3">
      <c r="A86" t="s">
        <v>20</v>
      </c>
      <c r="B86" t="s">
        <v>234</v>
      </c>
      <c r="C86" t="s">
        <v>249</v>
      </c>
      <c r="D86" t="s">
        <v>20</v>
      </c>
      <c r="E86" t="s">
        <v>85</v>
      </c>
      <c r="F86" t="s">
        <v>153</v>
      </c>
      <c r="I86" t="s">
        <v>86</v>
      </c>
      <c r="J86" t="s">
        <v>93</v>
      </c>
      <c r="L86" s="4">
        <v>14550</v>
      </c>
      <c r="M86" s="5" t="s">
        <v>236</v>
      </c>
      <c r="N86" s="2">
        <v>45575</v>
      </c>
      <c r="O86">
        <f t="shared" si="4"/>
        <v>21</v>
      </c>
      <c r="P86">
        <f t="shared" si="5"/>
        <v>23</v>
      </c>
      <c r="Q86" t="str">
        <f>IF(Table13[[#This Row],[مده التسليم (الفعليه)]]=0, "ملغي", IF(Table13[[#This Row],[مده التسليم (الفعليه)]]&gt;=Table13[[#This Row],[مده التسليم (المحدده)]], "تم في الموعد", "تأخر في التسليم"))</f>
        <v>تم في الموعد</v>
      </c>
      <c r="R86">
        <v>21</v>
      </c>
      <c r="S86">
        <v>23</v>
      </c>
      <c r="T86" t="s">
        <v>270</v>
      </c>
      <c r="U86" s="2">
        <v>45596</v>
      </c>
      <c r="V86" s="2">
        <v>45598</v>
      </c>
      <c r="W86" t="s">
        <v>130</v>
      </c>
    </row>
    <row r="87" spans="1:23" hidden="1" x14ac:dyDescent="0.3">
      <c r="A87" t="s">
        <v>159</v>
      </c>
      <c r="B87" t="s">
        <v>233</v>
      </c>
      <c r="C87" t="s">
        <v>27</v>
      </c>
      <c r="D87" t="s">
        <v>4</v>
      </c>
      <c r="E87" t="s">
        <v>62</v>
      </c>
      <c r="F87" t="s">
        <v>70</v>
      </c>
      <c r="G87" t="s">
        <v>160</v>
      </c>
      <c r="H87" t="s">
        <v>161</v>
      </c>
      <c r="I87" t="s">
        <v>96</v>
      </c>
      <c r="L87" s="4">
        <v>12899</v>
      </c>
      <c r="M87" s="5" t="s">
        <v>236</v>
      </c>
      <c r="N87" s="2">
        <v>45578</v>
      </c>
      <c r="O87">
        <f t="shared" si="4"/>
        <v>65</v>
      </c>
      <c r="P87">
        <f t="shared" si="5"/>
        <v>20</v>
      </c>
      <c r="Q87" t="str">
        <f>IF(Table13[[#This Row],[مده التسليم (الفعليه)]]=0, "ملغي", IF(Table13[[#This Row],[مده التسليم (الفعليه)]]&gt;=Table13[[#This Row],[مده التسليم (المحدده)]], "تم في الموعد", "تأخر في التسليم"))</f>
        <v>تأخر في التسليم</v>
      </c>
      <c r="R87">
        <v>65</v>
      </c>
      <c r="S87">
        <v>20</v>
      </c>
      <c r="T87" t="s">
        <v>269</v>
      </c>
      <c r="U87" s="2">
        <v>45643</v>
      </c>
      <c r="V87" s="2">
        <v>45598</v>
      </c>
      <c r="W87" t="s">
        <v>130</v>
      </c>
    </row>
    <row r="88" spans="1:23" x14ac:dyDescent="0.3">
      <c r="A88" t="s">
        <v>162</v>
      </c>
      <c r="B88" t="s">
        <v>233</v>
      </c>
      <c r="C88" t="s">
        <v>257</v>
      </c>
      <c r="D88" t="s">
        <v>4</v>
      </c>
      <c r="E88" t="s">
        <v>62</v>
      </c>
      <c r="F88" t="s">
        <v>70</v>
      </c>
      <c r="G88" t="s">
        <v>121</v>
      </c>
      <c r="H88">
        <v>80</v>
      </c>
      <c r="I88" t="s">
        <v>71</v>
      </c>
      <c r="L88" s="4">
        <v>10499</v>
      </c>
      <c r="M88" s="5" t="s">
        <v>118</v>
      </c>
      <c r="N88" s="2">
        <v>45581</v>
      </c>
      <c r="O88">
        <f t="shared" si="4"/>
        <v>64</v>
      </c>
      <c r="P88">
        <f t="shared" si="5"/>
        <v>5</v>
      </c>
      <c r="Q88" t="str">
        <f>IF(Table13[[#This Row],[مده التسليم (الفعليه)]]=0, "ملغي", IF(Table13[[#This Row],[مده التسليم (الفعليه)]]&gt;=Table13[[#This Row],[مده التسليم (المحدده)]], "تم في الموعد", "تأخر في التسليم"))</f>
        <v>تأخر في التسليم</v>
      </c>
      <c r="R88">
        <v>64</v>
      </c>
      <c r="S88">
        <v>5</v>
      </c>
      <c r="T88" t="s">
        <v>269</v>
      </c>
      <c r="U88" s="2">
        <v>45645</v>
      </c>
      <c r="V88" s="2">
        <v>45586</v>
      </c>
      <c r="W88" t="s">
        <v>130</v>
      </c>
    </row>
    <row r="89" spans="1:23" x14ac:dyDescent="0.3">
      <c r="A89" t="s">
        <v>163</v>
      </c>
      <c r="B89" t="s">
        <v>233</v>
      </c>
      <c r="C89" t="s">
        <v>255</v>
      </c>
      <c r="D89" t="s">
        <v>4</v>
      </c>
      <c r="E89" t="s">
        <v>62</v>
      </c>
      <c r="F89" t="s">
        <v>70</v>
      </c>
      <c r="G89" t="s">
        <v>124</v>
      </c>
      <c r="H89" t="s">
        <v>164</v>
      </c>
      <c r="I89" t="s">
        <v>96</v>
      </c>
      <c r="L89" s="4">
        <v>12899</v>
      </c>
      <c r="M89" s="5" t="s">
        <v>118</v>
      </c>
      <c r="N89" s="2">
        <v>45582</v>
      </c>
      <c r="O89">
        <f t="shared" si="4"/>
        <v>66</v>
      </c>
      <c r="P89">
        <f t="shared" si="5"/>
        <v>47</v>
      </c>
      <c r="Q89" t="str">
        <f>IF(Table13[[#This Row],[مده التسليم (الفعليه)]]=0, "ملغي", IF(Table13[[#This Row],[مده التسليم (الفعليه)]]&gt;=Table13[[#This Row],[مده التسليم (المحدده)]], "تم في الموعد", "تأخر في التسليم"))</f>
        <v>تأخر في التسليم</v>
      </c>
      <c r="R89">
        <v>66</v>
      </c>
      <c r="S89">
        <v>47</v>
      </c>
      <c r="T89" t="s">
        <v>269</v>
      </c>
      <c r="U89" s="2">
        <v>45648</v>
      </c>
      <c r="V89" s="2">
        <v>45629</v>
      </c>
      <c r="W89" t="s">
        <v>130</v>
      </c>
    </row>
    <row r="90" spans="1:23" x14ac:dyDescent="0.3">
      <c r="A90" t="s">
        <v>165</v>
      </c>
      <c r="B90" t="s">
        <v>233</v>
      </c>
      <c r="C90" t="s">
        <v>258</v>
      </c>
      <c r="D90" t="s">
        <v>101</v>
      </c>
      <c r="E90" t="s">
        <v>62</v>
      </c>
      <c r="F90" t="s">
        <v>64</v>
      </c>
      <c r="G90" t="s">
        <v>166</v>
      </c>
      <c r="H90">
        <v>140</v>
      </c>
      <c r="I90" t="s">
        <v>93</v>
      </c>
      <c r="J90" t="s">
        <v>98</v>
      </c>
      <c r="L90" s="4">
        <v>5135</v>
      </c>
      <c r="M90" s="5" t="s">
        <v>118</v>
      </c>
      <c r="N90" s="2">
        <v>45585</v>
      </c>
      <c r="O90">
        <f t="shared" si="4"/>
        <v>28</v>
      </c>
      <c r="P90">
        <f t="shared" si="5"/>
        <v>25</v>
      </c>
      <c r="Q90" t="str">
        <f>IF(Table13[[#This Row],[مده التسليم (الفعليه)]]=0, "ملغي", IF(Table13[[#This Row],[مده التسليم (الفعليه)]]&gt;=Table13[[#This Row],[مده التسليم (المحدده)]], "تم في الموعد", "تأخر في التسليم"))</f>
        <v>تأخر في التسليم</v>
      </c>
      <c r="R90">
        <v>28</v>
      </c>
      <c r="S90">
        <v>25</v>
      </c>
      <c r="T90" t="s">
        <v>269</v>
      </c>
      <c r="U90" s="2">
        <v>45613</v>
      </c>
      <c r="V90" s="2">
        <v>45610</v>
      </c>
      <c r="W90" t="s">
        <v>130</v>
      </c>
    </row>
    <row r="91" spans="1:23" hidden="1" x14ac:dyDescent="0.3">
      <c r="A91" t="s">
        <v>20</v>
      </c>
      <c r="B91" t="s">
        <v>234</v>
      </c>
      <c r="C91" t="s">
        <v>232</v>
      </c>
      <c r="D91" t="s">
        <v>20</v>
      </c>
      <c r="E91" t="s">
        <v>62</v>
      </c>
      <c r="F91" t="s">
        <v>70</v>
      </c>
      <c r="G91" t="s">
        <v>167</v>
      </c>
      <c r="H91">
        <v>100</v>
      </c>
      <c r="I91" t="s">
        <v>99</v>
      </c>
      <c r="L91" s="4">
        <v>12777.5</v>
      </c>
      <c r="M91" s="5" t="s">
        <v>236</v>
      </c>
      <c r="N91" s="2">
        <v>45587</v>
      </c>
      <c r="O91">
        <f t="shared" si="4"/>
        <v>21</v>
      </c>
      <c r="P91">
        <f t="shared" si="5"/>
        <v>27</v>
      </c>
      <c r="Q91" t="str">
        <f>IF(Table13[[#This Row],[مده التسليم (الفعليه)]]=0, "ملغي", IF(Table13[[#This Row],[مده التسليم (الفعليه)]]&gt;=Table13[[#This Row],[مده التسليم (المحدده)]], "تم في الموعد", "تأخر في التسليم"))</f>
        <v>تم في الموعد</v>
      </c>
      <c r="R91">
        <v>21</v>
      </c>
      <c r="S91">
        <v>27</v>
      </c>
      <c r="T91" t="s">
        <v>270</v>
      </c>
      <c r="U91" s="2">
        <v>45608</v>
      </c>
      <c r="V91" s="2">
        <v>45614</v>
      </c>
      <c r="W91" t="s">
        <v>130</v>
      </c>
    </row>
    <row r="92" spans="1:23" hidden="1" x14ac:dyDescent="0.3">
      <c r="A92" t="s">
        <v>20</v>
      </c>
      <c r="B92" t="s">
        <v>234</v>
      </c>
      <c r="C92" t="s">
        <v>232</v>
      </c>
      <c r="D92" t="s">
        <v>20</v>
      </c>
      <c r="E92" t="s">
        <v>62</v>
      </c>
      <c r="F92" t="s">
        <v>70</v>
      </c>
      <c r="G92" t="s">
        <v>167</v>
      </c>
      <c r="H92">
        <v>100</v>
      </c>
      <c r="I92" t="s">
        <v>99</v>
      </c>
      <c r="L92" s="4">
        <v>12777.5</v>
      </c>
      <c r="M92" s="5" t="s">
        <v>236</v>
      </c>
      <c r="N92" s="2">
        <v>45587</v>
      </c>
      <c r="O92">
        <f t="shared" si="4"/>
        <v>21</v>
      </c>
      <c r="P92">
        <f t="shared" si="5"/>
        <v>27</v>
      </c>
      <c r="Q92" t="str">
        <f>IF(Table13[[#This Row],[مده التسليم (الفعليه)]]=0, "ملغي", IF(Table13[[#This Row],[مده التسليم (الفعليه)]]&gt;=Table13[[#This Row],[مده التسليم (المحدده)]], "تم في الموعد", "تأخر في التسليم"))</f>
        <v>تم في الموعد</v>
      </c>
      <c r="R92">
        <v>21</v>
      </c>
      <c r="S92">
        <v>27</v>
      </c>
      <c r="T92" t="s">
        <v>270</v>
      </c>
      <c r="U92" s="2">
        <v>45608</v>
      </c>
      <c r="V92" s="2">
        <v>45614</v>
      </c>
      <c r="W92" t="s">
        <v>130</v>
      </c>
    </row>
    <row r="93" spans="1:23" hidden="1" x14ac:dyDescent="0.3">
      <c r="A93" t="s">
        <v>135</v>
      </c>
      <c r="B93" t="s">
        <v>234</v>
      </c>
      <c r="C93" t="s">
        <v>257</v>
      </c>
      <c r="D93" t="s">
        <v>250</v>
      </c>
      <c r="E93" t="s">
        <v>62</v>
      </c>
      <c r="F93" t="s">
        <v>70</v>
      </c>
      <c r="G93" t="s">
        <v>167</v>
      </c>
      <c r="H93">
        <v>100</v>
      </c>
      <c r="I93" t="s">
        <v>99</v>
      </c>
      <c r="L93" s="4">
        <v>8544.91</v>
      </c>
      <c r="M93" s="5" t="s">
        <v>136</v>
      </c>
      <c r="N93" s="2">
        <v>45587</v>
      </c>
      <c r="O93">
        <f t="shared" si="4"/>
        <v>0</v>
      </c>
      <c r="P93">
        <f t="shared" si="5"/>
        <v>0</v>
      </c>
      <c r="Q93" t="str">
        <f>IF(Table13[[#This Row],[مده التسليم (الفعليه)]]=0, "ملغي", IF(Table13[[#This Row],[مده التسليم (الفعليه)]]&gt;=Table13[[#This Row],[مده التسليم (المحدده)]], "تم في الموعد", "تأخر في التسليم"))</f>
        <v>ملغي</v>
      </c>
      <c r="R93">
        <v>0</v>
      </c>
      <c r="S93">
        <v>0</v>
      </c>
      <c r="T93" t="s">
        <v>272</v>
      </c>
      <c r="U93" s="2"/>
      <c r="V93" s="2"/>
      <c r="W93" t="s">
        <v>97</v>
      </c>
    </row>
    <row r="94" spans="1:23" hidden="1" x14ac:dyDescent="0.3">
      <c r="A94" t="s">
        <v>168</v>
      </c>
      <c r="B94" t="s">
        <v>233</v>
      </c>
      <c r="C94" t="s">
        <v>232</v>
      </c>
      <c r="D94" t="s">
        <v>4</v>
      </c>
      <c r="E94" t="s">
        <v>62</v>
      </c>
      <c r="F94" t="s">
        <v>64</v>
      </c>
      <c r="G94" t="s">
        <v>129</v>
      </c>
      <c r="H94">
        <v>120</v>
      </c>
      <c r="I94" t="s">
        <v>71</v>
      </c>
      <c r="L94" s="4">
        <v>8943</v>
      </c>
      <c r="M94" s="5" t="s">
        <v>236</v>
      </c>
      <c r="N94" s="2">
        <v>45586</v>
      </c>
      <c r="O94">
        <f t="shared" si="4"/>
        <v>24</v>
      </c>
      <c r="P94">
        <f t="shared" si="5"/>
        <v>28</v>
      </c>
      <c r="Q94" t="str">
        <f>IF(Table13[[#This Row],[مده التسليم (الفعليه)]]=0, "ملغي", IF(Table13[[#This Row],[مده التسليم (الفعليه)]]&gt;=Table13[[#This Row],[مده التسليم (المحدده)]], "تم في الموعد", "تأخر في التسليم"))</f>
        <v>تم في الموعد</v>
      </c>
      <c r="R94">
        <v>24</v>
      </c>
      <c r="S94">
        <v>28</v>
      </c>
      <c r="T94" t="s">
        <v>270</v>
      </c>
      <c r="U94" s="2">
        <v>45610</v>
      </c>
      <c r="V94" s="2">
        <v>45614</v>
      </c>
      <c r="W94" t="s">
        <v>130</v>
      </c>
    </row>
    <row r="95" spans="1:23" x14ac:dyDescent="0.3">
      <c r="A95" t="s">
        <v>20</v>
      </c>
      <c r="B95" t="s">
        <v>234</v>
      </c>
      <c r="C95" t="s">
        <v>249</v>
      </c>
      <c r="D95" t="s">
        <v>20</v>
      </c>
      <c r="E95" t="s">
        <v>85</v>
      </c>
      <c r="F95" t="s">
        <v>153</v>
      </c>
      <c r="I95" t="s">
        <v>72</v>
      </c>
      <c r="L95" s="4">
        <v>15516</v>
      </c>
      <c r="M95" s="5" t="s">
        <v>118</v>
      </c>
      <c r="N95" s="2">
        <v>45589</v>
      </c>
      <c r="O95">
        <f t="shared" si="4"/>
        <v>21</v>
      </c>
      <c r="P95">
        <f t="shared" si="5"/>
        <v>6</v>
      </c>
      <c r="Q95" t="str">
        <f>IF(Table13[[#This Row],[مده التسليم (الفعليه)]]=0, "ملغي", IF(Table13[[#This Row],[مده التسليم (الفعليه)]]&gt;=Table13[[#This Row],[مده التسليم (المحدده)]], "تم في الموعد", "تأخر في التسليم"))</f>
        <v>تأخر في التسليم</v>
      </c>
      <c r="R95">
        <v>21</v>
      </c>
      <c r="S95">
        <v>6</v>
      </c>
      <c r="T95" t="s">
        <v>269</v>
      </c>
      <c r="U95" s="2">
        <v>45610</v>
      </c>
      <c r="V95" s="2">
        <v>45595</v>
      </c>
      <c r="W95" t="s">
        <v>130</v>
      </c>
    </row>
    <row r="96" spans="1:23" hidden="1" x14ac:dyDescent="0.3">
      <c r="A96" t="s">
        <v>20</v>
      </c>
      <c r="B96" t="s">
        <v>234</v>
      </c>
      <c r="C96" t="s">
        <v>249</v>
      </c>
      <c r="D96" t="s">
        <v>20</v>
      </c>
      <c r="E96" t="s">
        <v>62</v>
      </c>
      <c r="F96" t="s">
        <v>70</v>
      </c>
      <c r="G96" t="s">
        <v>128</v>
      </c>
      <c r="H96">
        <v>100</v>
      </c>
      <c r="I96" t="s">
        <v>72</v>
      </c>
      <c r="L96" s="4">
        <v>10045</v>
      </c>
      <c r="M96" s="5" t="s">
        <v>236</v>
      </c>
      <c r="N96" s="2">
        <v>45591</v>
      </c>
      <c r="O96">
        <f t="shared" si="4"/>
        <v>21</v>
      </c>
      <c r="P96">
        <f t="shared" si="5"/>
        <v>0</v>
      </c>
      <c r="Q96" t="str">
        <f>IF(Table13[[#This Row],[مده التسليم (الفعليه)]]=0, "ملغي", IF(Table13[[#This Row],[مده التسليم (الفعليه)]]&gt;=Table13[[#This Row],[مده التسليم (المحدده)]], "تم في الموعد", "تأخر في التسليم"))</f>
        <v>ملغي</v>
      </c>
      <c r="R96">
        <v>21</v>
      </c>
      <c r="S96">
        <v>0</v>
      </c>
      <c r="T96" t="s">
        <v>272</v>
      </c>
      <c r="U96" s="2">
        <v>45612</v>
      </c>
      <c r="V96" s="2"/>
      <c r="W96" t="s">
        <v>97</v>
      </c>
    </row>
    <row r="97" spans="1:23" hidden="1" x14ac:dyDescent="0.3">
      <c r="A97" t="s">
        <v>144</v>
      </c>
      <c r="B97" t="s">
        <v>233</v>
      </c>
      <c r="C97" t="s">
        <v>232</v>
      </c>
      <c r="D97" t="s">
        <v>4</v>
      </c>
      <c r="E97" t="s">
        <v>62</v>
      </c>
      <c r="F97" t="s">
        <v>70</v>
      </c>
      <c r="G97" t="s">
        <v>128</v>
      </c>
      <c r="H97">
        <v>90</v>
      </c>
      <c r="I97" t="s">
        <v>72</v>
      </c>
      <c r="L97" s="4">
        <v>11649</v>
      </c>
      <c r="M97" s="5" t="s">
        <v>236</v>
      </c>
      <c r="N97" s="2">
        <v>45591</v>
      </c>
      <c r="O97">
        <f t="shared" si="4"/>
        <v>15</v>
      </c>
      <c r="P97">
        <f t="shared" si="5"/>
        <v>23</v>
      </c>
      <c r="Q97" t="str">
        <f>IF(Table13[[#This Row],[مده التسليم (الفعليه)]]=0, "ملغي", IF(Table13[[#This Row],[مده التسليم (الفعليه)]]&gt;=Table13[[#This Row],[مده التسليم (المحدده)]], "تم في الموعد", "تأخر في التسليم"))</f>
        <v>تم في الموعد</v>
      </c>
      <c r="R97">
        <v>15</v>
      </c>
      <c r="S97">
        <v>23</v>
      </c>
      <c r="T97" t="s">
        <v>270</v>
      </c>
      <c r="U97" s="2">
        <v>45606</v>
      </c>
      <c r="V97" s="2">
        <v>45614</v>
      </c>
      <c r="W97" t="s">
        <v>130</v>
      </c>
    </row>
    <row r="98" spans="1:23" hidden="1" x14ac:dyDescent="0.3">
      <c r="A98" t="s">
        <v>144</v>
      </c>
      <c r="B98" t="s">
        <v>233</v>
      </c>
      <c r="C98" t="s">
        <v>232</v>
      </c>
      <c r="D98" t="s">
        <v>4</v>
      </c>
      <c r="E98" t="s">
        <v>62</v>
      </c>
      <c r="F98" t="s">
        <v>70</v>
      </c>
      <c r="G98" t="s">
        <v>128</v>
      </c>
      <c r="H98">
        <v>90</v>
      </c>
      <c r="I98" t="s">
        <v>72</v>
      </c>
      <c r="L98" s="4">
        <v>11649</v>
      </c>
      <c r="M98" s="5" t="s">
        <v>236</v>
      </c>
      <c r="N98" s="2">
        <v>45591</v>
      </c>
      <c r="O98">
        <f t="shared" ref="O98:O127" si="6">IF(OR(ISBLANK(U98),ISBLANK(N98)),0,U98-N98)</f>
        <v>15</v>
      </c>
      <c r="P98">
        <f t="shared" ref="P98:P127" si="7">IF(OR(ISBLANK(V98),ISBLANK(N98)),0,V98-N98)</f>
        <v>23</v>
      </c>
      <c r="Q98" t="str">
        <f>IF(Table13[[#This Row],[مده التسليم (الفعليه)]]=0, "ملغي", IF(Table13[[#This Row],[مده التسليم (الفعليه)]]&gt;=Table13[[#This Row],[مده التسليم (المحدده)]], "تم في الموعد", "تأخر في التسليم"))</f>
        <v>تم في الموعد</v>
      </c>
      <c r="R98">
        <v>15</v>
      </c>
      <c r="S98">
        <v>23</v>
      </c>
      <c r="T98" t="s">
        <v>270</v>
      </c>
      <c r="U98" s="2">
        <v>45606</v>
      </c>
      <c r="V98" s="2">
        <v>45614</v>
      </c>
      <c r="W98" t="s">
        <v>130</v>
      </c>
    </row>
    <row r="99" spans="1:23" hidden="1" x14ac:dyDescent="0.3">
      <c r="A99" t="s">
        <v>169</v>
      </c>
      <c r="B99" t="s">
        <v>233</v>
      </c>
      <c r="C99" t="s">
        <v>44</v>
      </c>
      <c r="D99" t="s">
        <v>4</v>
      </c>
      <c r="E99" t="s">
        <v>62</v>
      </c>
      <c r="F99" t="s">
        <v>64</v>
      </c>
      <c r="G99" t="s">
        <v>134</v>
      </c>
      <c r="H99">
        <v>100</v>
      </c>
      <c r="I99" t="s">
        <v>71</v>
      </c>
      <c r="L99" s="4" t="s">
        <v>170</v>
      </c>
      <c r="M99" s="5" t="s">
        <v>236</v>
      </c>
      <c r="N99" s="2">
        <v>45593</v>
      </c>
      <c r="O99">
        <f t="shared" si="6"/>
        <v>14</v>
      </c>
      <c r="P99">
        <f t="shared" si="7"/>
        <v>24</v>
      </c>
      <c r="Q99" t="str">
        <f>IF(Table13[[#This Row],[مده التسليم (الفعليه)]]=0, "ملغي", IF(Table13[[#This Row],[مده التسليم (الفعليه)]]&gt;=Table13[[#This Row],[مده التسليم (المحدده)]], "تم في الموعد", "تأخر في التسليم"))</f>
        <v>تم في الموعد</v>
      </c>
      <c r="R99">
        <v>14</v>
      </c>
      <c r="S99">
        <v>24</v>
      </c>
      <c r="T99" t="s">
        <v>270</v>
      </c>
      <c r="U99" s="2">
        <v>45607</v>
      </c>
      <c r="V99" s="2">
        <v>45617</v>
      </c>
      <c r="W99" t="s">
        <v>130</v>
      </c>
    </row>
    <row r="100" spans="1:23" hidden="1" x14ac:dyDescent="0.3">
      <c r="A100" t="s">
        <v>169</v>
      </c>
      <c r="B100" t="s">
        <v>233</v>
      </c>
      <c r="C100" t="s">
        <v>44</v>
      </c>
      <c r="D100" t="s">
        <v>4</v>
      </c>
      <c r="E100" t="s">
        <v>62</v>
      </c>
      <c r="F100" t="s">
        <v>64</v>
      </c>
      <c r="G100" t="s">
        <v>134</v>
      </c>
      <c r="H100">
        <v>120</v>
      </c>
      <c r="I100" t="s">
        <v>71</v>
      </c>
      <c r="L100" s="4" t="s">
        <v>171</v>
      </c>
      <c r="M100" s="5" t="s">
        <v>236</v>
      </c>
      <c r="N100" s="2">
        <v>45593</v>
      </c>
      <c r="O100">
        <f t="shared" si="6"/>
        <v>14</v>
      </c>
      <c r="P100">
        <f t="shared" si="7"/>
        <v>24</v>
      </c>
      <c r="Q100" t="str">
        <f>IF(Table13[[#This Row],[مده التسليم (الفعليه)]]=0, "ملغي", IF(Table13[[#This Row],[مده التسليم (الفعليه)]]&gt;=Table13[[#This Row],[مده التسليم (المحدده)]], "تم في الموعد", "تأخر في التسليم"))</f>
        <v>تم في الموعد</v>
      </c>
      <c r="R100">
        <v>14</v>
      </c>
      <c r="S100">
        <v>24</v>
      </c>
      <c r="T100" t="s">
        <v>270</v>
      </c>
      <c r="U100" s="2">
        <v>45607</v>
      </c>
      <c r="V100" s="2">
        <v>45617</v>
      </c>
      <c r="W100" t="s">
        <v>130</v>
      </c>
    </row>
    <row r="101" spans="1:23" x14ac:dyDescent="0.3">
      <c r="A101" t="s">
        <v>227</v>
      </c>
      <c r="B101" t="s">
        <v>233</v>
      </c>
      <c r="C101" t="s">
        <v>102</v>
      </c>
      <c r="D101" t="s">
        <v>4</v>
      </c>
      <c r="E101" t="s">
        <v>62</v>
      </c>
      <c r="F101" t="s">
        <v>70</v>
      </c>
      <c r="G101" t="s">
        <v>121</v>
      </c>
      <c r="H101">
        <v>80</v>
      </c>
      <c r="I101" t="s">
        <v>71</v>
      </c>
      <c r="L101" s="4">
        <v>12099</v>
      </c>
      <c r="M101" s="5" t="s">
        <v>118</v>
      </c>
      <c r="N101" s="2">
        <v>45607</v>
      </c>
      <c r="O101">
        <f t="shared" si="6"/>
        <v>15</v>
      </c>
      <c r="P101">
        <f t="shared" si="7"/>
        <v>16</v>
      </c>
      <c r="Q101" t="str">
        <f>IF(Table13[[#This Row],[مده التسليم (الفعليه)]]=0, "ملغي", IF(Table13[[#This Row],[مده التسليم (الفعليه)]]&gt;=Table13[[#This Row],[مده التسليم (المحدده)]], "تم في الموعد", "تأخر في التسليم"))</f>
        <v>تم في الموعد</v>
      </c>
      <c r="R101">
        <v>15</v>
      </c>
      <c r="S101">
        <v>16</v>
      </c>
      <c r="T101" t="s">
        <v>270</v>
      </c>
      <c r="U101" s="2">
        <v>45622</v>
      </c>
      <c r="V101" s="2">
        <v>45623</v>
      </c>
      <c r="W101" t="s">
        <v>130</v>
      </c>
    </row>
    <row r="102" spans="1:23" x14ac:dyDescent="0.3">
      <c r="A102" t="s">
        <v>20</v>
      </c>
      <c r="B102" t="s">
        <v>234</v>
      </c>
      <c r="C102" t="s">
        <v>158</v>
      </c>
      <c r="D102" t="s">
        <v>20</v>
      </c>
      <c r="E102" t="s">
        <v>85</v>
      </c>
      <c r="F102" t="s">
        <v>153</v>
      </c>
      <c r="G102" t="s">
        <v>172</v>
      </c>
      <c r="I102" t="s">
        <v>86</v>
      </c>
      <c r="J102" t="s">
        <v>100</v>
      </c>
      <c r="L102" s="4">
        <v>15872</v>
      </c>
      <c r="M102" s="5" t="s">
        <v>118</v>
      </c>
      <c r="N102" s="2">
        <v>45604</v>
      </c>
      <c r="O102">
        <f t="shared" si="6"/>
        <v>25</v>
      </c>
      <c r="P102">
        <f t="shared" si="7"/>
        <v>6</v>
      </c>
      <c r="Q102" t="str">
        <f>IF(Table13[[#This Row],[مده التسليم (الفعليه)]]=0, "ملغي", IF(Table13[[#This Row],[مده التسليم (الفعليه)]]&gt;=Table13[[#This Row],[مده التسليم (المحدده)]], "تم في الموعد", "تأخر في التسليم"))</f>
        <v>تأخر في التسليم</v>
      </c>
      <c r="R102">
        <v>25</v>
      </c>
      <c r="S102">
        <v>6</v>
      </c>
      <c r="T102" t="s">
        <v>269</v>
      </c>
      <c r="U102" s="2">
        <v>45629</v>
      </c>
      <c r="V102" s="2">
        <v>45610</v>
      </c>
      <c r="W102" t="s">
        <v>130</v>
      </c>
    </row>
    <row r="103" spans="1:23" hidden="1" x14ac:dyDescent="0.3">
      <c r="A103" t="s">
        <v>101</v>
      </c>
      <c r="B103" t="s">
        <v>233</v>
      </c>
      <c r="C103" t="s">
        <v>112</v>
      </c>
      <c r="D103" t="s">
        <v>101</v>
      </c>
      <c r="E103" t="s">
        <v>62</v>
      </c>
      <c r="F103" t="s">
        <v>64</v>
      </c>
      <c r="G103" t="s">
        <v>129</v>
      </c>
      <c r="H103">
        <v>120</v>
      </c>
      <c r="I103" t="s">
        <v>71</v>
      </c>
      <c r="L103" s="4">
        <v>4520</v>
      </c>
      <c r="M103" s="5" t="s">
        <v>136</v>
      </c>
      <c r="N103" s="2">
        <v>45606</v>
      </c>
      <c r="O103">
        <f t="shared" si="6"/>
        <v>12</v>
      </c>
      <c r="P103">
        <f t="shared" si="7"/>
        <v>11</v>
      </c>
      <c r="Q103" t="str">
        <f>IF(Table13[[#This Row],[مده التسليم (الفعليه)]]=0, "ملغي", IF(Table13[[#This Row],[مده التسليم (الفعليه)]]&gt;=Table13[[#This Row],[مده التسليم (المحدده)]], "تم في الموعد", "تأخر في التسليم"))</f>
        <v>تأخر في التسليم</v>
      </c>
      <c r="R103">
        <v>12</v>
      </c>
      <c r="S103">
        <v>11</v>
      </c>
      <c r="T103" t="s">
        <v>269</v>
      </c>
      <c r="U103" s="2">
        <v>45618</v>
      </c>
      <c r="V103" s="2">
        <v>45617</v>
      </c>
      <c r="W103" t="s">
        <v>130</v>
      </c>
    </row>
    <row r="104" spans="1:23" hidden="1" x14ac:dyDescent="0.3">
      <c r="A104" t="s">
        <v>135</v>
      </c>
      <c r="B104" t="s">
        <v>234</v>
      </c>
      <c r="C104" t="s">
        <v>265</v>
      </c>
      <c r="D104" t="s">
        <v>250</v>
      </c>
      <c r="E104" t="s">
        <v>62</v>
      </c>
      <c r="F104" t="s">
        <v>70</v>
      </c>
      <c r="G104" t="s">
        <v>128</v>
      </c>
      <c r="H104">
        <v>90</v>
      </c>
      <c r="I104" t="s">
        <v>72</v>
      </c>
      <c r="L104" s="4">
        <v>5766</v>
      </c>
      <c r="M104" s="5" t="s">
        <v>136</v>
      </c>
      <c r="N104" s="2">
        <v>45608</v>
      </c>
      <c r="O104">
        <f t="shared" si="6"/>
        <v>14</v>
      </c>
      <c r="P104">
        <f t="shared" si="7"/>
        <v>13</v>
      </c>
      <c r="Q104" t="str">
        <f>IF(Table13[[#This Row],[مده التسليم (الفعليه)]]=0, "ملغي", IF(Table13[[#This Row],[مده التسليم (الفعليه)]]&gt;=Table13[[#This Row],[مده التسليم (المحدده)]], "تم في الموعد", "تأخر في التسليم"))</f>
        <v>تأخر في التسليم</v>
      </c>
      <c r="R104">
        <v>14</v>
      </c>
      <c r="S104">
        <v>13</v>
      </c>
      <c r="T104" t="s">
        <v>269</v>
      </c>
      <c r="U104" s="2">
        <v>45622</v>
      </c>
      <c r="V104" s="2">
        <v>45621</v>
      </c>
      <c r="W104" t="s">
        <v>130</v>
      </c>
    </row>
    <row r="105" spans="1:23" x14ac:dyDescent="0.3">
      <c r="A105" t="s">
        <v>173</v>
      </c>
      <c r="B105" t="s">
        <v>233</v>
      </c>
      <c r="C105" t="s">
        <v>44</v>
      </c>
      <c r="D105" t="s">
        <v>4</v>
      </c>
      <c r="E105" t="s">
        <v>62</v>
      </c>
      <c r="F105" t="s">
        <v>64</v>
      </c>
      <c r="G105" t="s">
        <v>129</v>
      </c>
      <c r="H105">
        <v>160</v>
      </c>
      <c r="I105" t="s">
        <v>76</v>
      </c>
      <c r="L105" s="4">
        <v>11395</v>
      </c>
      <c r="M105" s="5" t="s">
        <v>118</v>
      </c>
      <c r="N105" s="2">
        <v>45608</v>
      </c>
      <c r="O105">
        <f t="shared" si="6"/>
        <v>12</v>
      </c>
      <c r="P105">
        <f t="shared" si="7"/>
        <v>15</v>
      </c>
      <c r="Q105" t="str">
        <f>IF(Table13[[#This Row],[مده التسليم (الفعليه)]]=0, "ملغي", IF(Table13[[#This Row],[مده التسليم (الفعليه)]]&gt;=Table13[[#This Row],[مده التسليم (المحدده)]], "تم في الموعد", "تأخر في التسليم"))</f>
        <v>تم في الموعد</v>
      </c>
      <c r="R105">
        <v>12</v>
      </c>
      <c r="S105">
        <v>15</v>
      </c>
      <c r="T105" t="s">
        <v>270</v>
      </c>
      <c r="U105" s="2">
        <v>45620</v>
      </c>
      <c r="V105" s="2">
        <v>45623</v>
      </c>
      <c r="W105" t="s">
        <v>130</v>
      </c>
    </row>
    <row r="106" spans="1:23" x14ac:dyDescent="0.3">
      <c r="A106" t="s">
        <v>174</v>
      </c>
      <c r="B106" t="s">
        <v>233</v>
      </c>
      <c r="C106" t="s">
        <v>112</v>
      </c>
      <c r="D106" t="s">
        <v>4</v>
      </c>
      <c r="E106" t="s">
        <v>62</v>
      </c>
      <c r="F106" t="s">
        <v>70</v>
      </c>
      <c r="G106" t="s">
        <v>175</v>
      </c>
      <c r="H106">
        <v>80</v>
      </c>
      <c r="I106" t="s">
        <v>71</v>
      </c>
      <c r="L106" s="4">
        <v>12919</v>
      </c>
      <c r="M106" s="5" t="s">
        <v>118</v>
      </c>
      <c r="N106" s="2">
        <v>45610</v>
      </c>
      <c r="O106">
        <f t="shared" si="6"/>
        <v>16</v>
      </c>
      <c r="P106">
        <f t="shared" si="7"/>
        <v>13</v>
      </c>
      <c r="Q106" t="str">
        <f>IF(Table13[[#This Row],[مده التسليم (الفعليه)]]=0, "ملغي", IF(Table13[[#This Row],[مده التسليم (الفعليه)]]&gt;=Table13[[#This Row],[مده التسليم (المحدده)]], "تم في الموعد", "تأخر في التسليم"))</f>
        <v>تأخر في التسليم</v>
      </c>
      <c r="R106">
        <v>16</v>
      </c>
      <c r="S106">
        <v>13</v>
      </c>
      <c r="T106" t="s">
        <v>269</v>
      </c>
      <c r="U106" s="2">
        <v>45626</v>
      </c>
      <c r="V106" s="2">
        <v>45623</v>
      </c>
      <c r="W106" t="s">
        <v>130</v>
      </c>
    </row>
    <row r="107" spans="1:23" hidden="1" x14ac:dyDescent="0.3">
      <c r="A107" t="s">
        <v>135</v>
      </c>
      <c r="B107" t="s">
        <v>234</v>
      </c>
      <c r="C107" t="s">
        <v>265</v>
      </c>
      <c r="D107" t="s">
        <v>250</v>
      </c>
      <c r="E107" t="s">
        <v>62</v>
      </c>
      <c r="F107" t="s">
        <v>70</v>
      </c>
      <c r="G107" t="s">
        <v>124</v>
      </c>
      <c r="H107">
        <v>120</v>
      </c>
      <c r="I107" t="s">
        <v>75</v>
      </c>
      <c r="L107" s="4">
        <v>6376</v>
      </c>
      <c r="M107" s="5" t="s">
        <v>136</v>
      </c>
      <c r="N107" s="2">
        <v>45610</v>
      </c>
      <c r="O107">
        <f t="shared" si="6"/>
        <v>13</v>
      </c>
      <c r="P107">
        <f t="shared" si="7"/>
        <v>11</v>
      </c>
      <c r="Q107" t="str">
        <f>IF(Table13[[#This Row],[مده التسليم (الفعليه)]]=0, "ملغي", IF(Table13[[#This Row],[مده التسليم (الفعليه)]]&gt;=Table13[[#This Row],[مده التسليم (المحدده)]], "تم في الموعد", "تأخر في التسليم"))</f>
        <v>تأخر في التسليم</v>
      </c>
      <c r="R107">
        <v>13</v>
      </c>
      <c r="S107">
        <v>11</v>
      </c>
      <c r="T107" t="s">
        <v>269</v>
      </c>
      <c r="U107" s="2">
        <v>45623</v>
      </c>
      <c r="V107" s="2">
        <v>45621</v>
      </c>
      <c r="W107" t="s">
        <v>130</v>
      </c>
    </row>
    <row r="108" spans="1:23" hidden="1" x14ac:dyDescent="0.3">
      <c r="A108" t="s">
        <v>135</v>
      </c>
      <c r="B108" t="s">
        <v>234</v>
      </c>
      <c r="C108" t="s">
        <v>103</v>
      </c>
      <c r="D108" t="s">
        <v>250</v>
      </c>
      <c r="E108" t="s">
        <v>62</v>
      </c>
      <c r="F108" t="s">
        <v>176</v>
      </c>
      <c r="G108" t="s">
        <v>124</v>
      </c>
      <c r="H108">
        <v>90</v>
      </c>
      <c r="I108" t="s">
        <v>72</v>
      </c>
      <c r="L108" s="4">
        <v>5294</v>
      </c>
      <c r="M108" s="5" t="s">
        <v>136</v>
      </c>
      <c r="N108" s="2">
        <v>45610</v>
      </c>
      <c r="O108">
        <f t="shared" si="6"/>
        <v>13</v>
      </c>
      <c r="P108">
        <f t="shared" si="7"/>
        <v>11</v>
      </c>
      <c r="Q108" t="str">
        <f>IF(Table13[[#This Row],[مده التسليم (الفعليه)]]=0, "ملغي", IF(Table13[[#This Row],[مده التسليم (الفعليه)]]&gt;=Table13[[#This Row],[مده التسليم (المحدده)]], "تم في الموعد", "تأخر في التسليم"))</f>
        <v>تأخر في التسليم</v>
      </c>
      <c r="R108">
        <v>13</v>
      </c>
      <c r="S108">
        <v>11</v>
      </c>
      <c r="T108" t="s">
        <v>269</v>
      </c>
      <c r="U108" s="2">
        <v>45623</v>
      </c>
      <c r="V108" s="2">
        <v>45621</v>
      </c>
      <c r="W108" t="s">
        <v>130</v>
      </c>
    </row>
    <row r="109" spans="1:23" x14ac:dyDescent="0.3">
      <c r="A109" t="s">
        <v>228</v>
      </c>
      <c r="B109" t="s">
        <v>233</v>
      </c>
      <c r="C109" t="s">
        <v>232</v>
      </c>
      <c r="D109" t="s">
        <v>251</v>
      </c>
      <c r="E109" t="s">
        <v>62</v>
      </c>
      <c r="F109" t="s">
        <v>176</v>
      </c>
      <c r="G109" t="s">
        <v>177</v>
      </c>
      <c r="H109">
        <v>80</v>
      </c>
      <c r="I109" t="s">
        <v>71</v>
      </c>
      <c r="L109" s="4">
        <v>7396</v>
      </c>
      <c r="M109" s="5" t="s">
        <v>118</v>
      </c>
      <c r="N109" s="2">
        <v>45613</v>
      </c>
      <c r="O109">
        <f t="shared" si="6"/>
        <v>11</v>
      </c>
      <c r="P109">
        <f t="shared" si="7"/>
        <v>9</v>
      </c>
      <c r="Q109" t="str">
        <f>IF(Table13[[#This Row],[مده التسليم (الفعليه)]]=0, "ملغي", IF(Table13[[#This Row],[مده التسليم (الفعليه)]]&gt;=Table13[[#This Row],[مده التسليم (المحدده)]], "تم في الموعد", "تأخر في التسليم"))</f>
        <v>تأخر في التسليم</v>
      </c>
      <c r="R109">
        <v>11</v>
      </c>
      <c r="S109">
        <v>9</v>
      </c>
      <c r="T109" t="s">
        <v>269</v>
      </c>
      <c r="U109" s="2">
        <v>45624</v>
      </c>
      <c r="V109" s="2">
        <v>45622</v>
      </c>
      <c r="W109" t="s">
        <v>130</v>
      </c>
    </row>
    <row r="110" spans="1:23" hidden="1" x14ac:dyDescent="0.3">
      <c r="A110" t="s">
        <v>144</v>
      </c>
      <c r="B110" t="s">
        <v>233</v>
      </c>
      <c r="C110" t="s">
        <v>232</v>
      </c>
      <c r="D110" t="s">
        <v>4</v>
      </c>
      <c r="E110" t="s">
        <v>62</v>
      </c>
      <c r="F110" t="s">
        <v>70</v>
      </c>
      <c r="G110" t="s">
        <v>128</v>
      </c>
      <c r="H110">
        <v>90</v>
      </c>
      <c r="I110" t="s">
        <v>72</v>
      </c>
      <c r="L110" s="4">
        <v>13439</v>
      </c>
      <c r="M110" s="5" t="s">
        <v>236</v>
      </c>
      <c r="N110" s="2">
        <v>45616</v>
      </c>
      <c r="O110">
        <f t="shared" si="6"/>
        <v>15</v>
      </c>
      <c r="P110">
        <f t="shared" si="7"/>
        <v>6</v>
      </c>
      <c r="Q110" t="str">
        <f>IF(Table13[[#This Row],[مده التسليم (الفعليه)]]=0, "ملغي", IF(Table13[[#This Row],[مده التسليم (الفعليه)]]&gt;=Table13[[#This Row],[مده التسليم (المحدده)]], "تم في الموعد", "تأخر في التسليم"))</f>
        <v>تأخر في التسليم</v>
      </c>
      <c r="R110">
        <v>15</v>
      </c>
      <c r="S110">
        <v>6</v>
      </c>
      <c r="T110" t="s">
        <v>269</v>
      </c>
      <c r="U110" s="2">
        <v>45631</v>
      </c>
      <c r="V110" s="2">
        <v>45622</v>
      </c>
      <c r="W110" t="s">
        <v>130</v>
      </c>
    </row>
    <row r="111" spans="1:23" hidden="1" x14ac:dyDescent="0.3">
      <c r="A111" t="s">
        <v>14</v>
      </c>
      <c r="B111" t="s">
        <v>234</v>
      </c>
      <c r="C111" t="s">
        <v>13</v>
      </c>
      <c r="D111" t="s">
        <v>14</v>
      </c>
      <c r="E111" t="s">
        <v>62</v>
      </c>
      <c r="F111" t="s">
        <v>104</v>
      </c>
      <c r="G111" t="s">
        <v>178</v>
      </c>
      <c r="H111">
        <v>160</v>
      </c>
      <c r="I111" t="s">
        <v>72</v>
      </c>
      <c r="L111" s="4">
        <v>5100</v>
      </c>
      <c r="M111" s="5" t="s">
        <v>136</v>
      </c>
      <c r="N111" s="2">
        <v>45610</v>
      </c>
      <c r="O111">
        <f t="shared" si="6"/>
        <v>24</v>
      </c>
      <c r="P111">
        <f t="shared" si="7"/>
        <v>0</v>
      </c>
      <c r="Q111" t="str">
        <f>IF(Table13[[#This Row],[مده التسليم (الفعليه)]]=0, "ملغي", IF(Table13[[#This Row],[مده التسليم (الفعليه)]]&gt;=Table13[[#This Row],[مده التسليم (المحدده)]], "تم في الموعد", "تأخر في التسليم"))</f>
        <v>ملغي</v>
      </c>
      <c r="R111">
        <v>24</v>
      </c>
      <c r="S111">
        <v>0</v>
      </c>
      <c r="T111" t="s">
        <v>272</v>
      </c>
      <c r="U111" s="2">
        <v>45634</v>
      </c>
      <c r="V111" s="2"/>
      <c r="W111" t="s">
        <v>97</v>
      </c>
    </row>
    <row r="112" spans="1:23" hidden="1" x14ac:dyDescent="0.3">
      <c r="A112" t="s">
        <v>179</v>
      </c>
      <c r="B112" t="s">
        <v>233</v>
      </c>
      <c r="C112" t="s">
        <v>257</v>
      </c>
      <c r="D112" t="s">
        <v>125</v>
      </c>
      <c r="E112" t="s">
        <v>62</v>
      </c>
      <c r="F112" t="s">
        <v>64</v>
      </c>
      <c r="G112" t="s">
        <v>180</v>
      </c>
      <c r="H112">
        <v>160</v>
      </c>
      <c r="I112" t="s">
        <v>78</v>
      </c>
      <c r="J112" t="s">
        <v>71</v>
      </c>
      <c r="L112" s="4" t="s">
        <v>181</v>
      </c>
      <c r="M112" s="5" t="s">
        <v>236</v>
      </c>
      <c r="N112" s="2">
        <v>45618</v>
      </c>
      <c r="O112">
        <f t="shared" si="6"/>
        <v>10</v>
      </c>
      <c r="P112">
        <f t="shared" si="7"/>
        <v>5</v>
      </c>
      <c r="Q112" t="str">
        <f>IF(Table13[[#This Row],[مده التسليم (الفعليه)]]=0, "ملغي", IF(Table13[[#This Row],[مده التسليم (الفعليه)]]&gt;=Table13[[#This Row],[مده التسليم (المحدده)]], "تم في الموعد", "تأخر في التسليم"))</f>
        <v>تأخر في التسليم</v>
      </c>
      <c r="R112">
        <v>10</v>
      </c>
      <c r="S112">
        <v>5</v>
      </c>
      <c r="T112" t="s">
        <v>269</v>
      </c>
      <c r="U112" s="2">
        <v>45628</v>
      </c>
      <c r="V112" s="2">
        <v>45623</v>
      </c>
      <c r="W112" t="s">
        <v>130</v>
      </c>
    </row>
    <row r="113" spans="1:23" hidden="1" x14ac:dyDescent="0.3">
      <c r="A113" t="s">
        <v>229</v>
      </c>
      <c r="B113" t="s">
        <v>233</v>
      </c>
      <c r="C113" t="s">
        <v>262</v>
      </c>
      <c r="D113" t="s">
        <v>4</v>
      </c>
      <c r="E113" t="s">
        <v>62</v>
      </c>
      <c r="F113" t="s">
        <v>104</v>
      </c>
      <c r="G113" t="s">
        <v>182</v>
      </c>
      <c r="H113">
        <v>120</v>
      </c>
      <c r="I113" t="s">
        <v>75</v>
      </c>
      <c r="L113" s="4">
        <v>10885</v>
      </c>
      <c r="M113" s="5" t="s">
        <v>236</v>
      </c>
      <c r="N113" s="2">
        <v>45620</v>
      </c>
      <c r="O113">
        <f t="shared" si="6"/>
        <v>11</v>
      </c>
      <c r="P113">
        <f t="shared" si="7"/>
        <v>16</v>
      </c>
      <c r="Q113" t="str">
        <f>IF(Table13[[#This Row],[مده التسليم (الفعليه)]]=0, "ملغي", IF(Table13[[#This Row],[مده التسليم (الفعليه)]]&gt;=Table13[[#This Row],[مده التسليم (المحدده)]], "تم في الموعد", "تأخر في التسليم"))</f>
        <v>تم في الموعد</v>
      </c>
      <c r="R113">
        <v>11</v>
      </c>
      <c r="S113">
        <v>16</v>
      </c>
      <c r="T113" t="s">
        <v>270</v>
      </c>
      <c r="U113" s="2">
        <v>45631</v>
      </c>
      <c r="V113" s="2">
        <v>45636</v>
      </c>
      <c r="W113" t="s">
        <v>130</v>
      </c>
    </row>
    <row r="114" spans="1:23" hidden="1" x14ac:dyDescent="0.3">
      <c r="A114" t="s">
        <v>14</v>
      </c>
      <c r="B114" t="s">
        <v>234</v>
      </c>
      <c r="C114" t="s">
        <v>13</v>
      </c>
      <c r="D114" t="s">
        <v>14</v>
      </c>
      <c r="E114" t="s">
        <v>85</v>
      </c>
      <c r="F114" t="s">
        <v>105</v>
      </c>
      <c r="G114" t="s">
        <v>105</v>
      </c>
      <c r="L114" s="4">
        <v>6000</v>
      </c>
      <c r="M114" s="5" t="s">
        <v>236</v>
      </c>
      <c r="N114" s="2">
        <v>45615</v>
      </c>
      <c r="O114">
        <f t="shared" si="6"/>
        <v>16</v>
      </c>
      <c r="P114">
        <f t="shared" si="7"/>
        <v>1</v>
      </c>
      <c r="Q114" t="str">
        <f>IF(Table13[[#This Row],[مده التسليم (الفعليه)]]=0, "ملغي", IF(Table13[[#This Row],[مده التسليم (الفعليه)]]&gt;=Table13[[#This Row],[مده التسليم (المحدده)]], "تم في الموعد", "تأخر في التسليم"))</f>
        <v>تأخر في التسليم</v>
      </c>
      <c r="R114">
        <v>16</v>
      </c>
      <c r="S114">
        <v>1</v>
      </c>
      <c r="T114" t="s">
        <v>269</v>
      </c>
      <c r="U114" s="2">
        <v>45631</v>
      </c>
      <c r="V114" s="2">
        <v>45616</v>
      </c>
      <c r="W114" t="s">
        <v>130</v>
      </c>
    </row>
    <row r="115" spans="1:23" x14ac:dyDescent="0.3">
      <c r="A115" t="s">
        <v>183</v>
      </c>
      <c r="B115" t="s">
        <v>233</v>
      </c>
      <c r="C115" t="s">
        <v>255</v>
      </c>
      <c r="D115" t="s">
        <v>4</v>
      </c>
      <c r="E115" t="s">
        <v>123</v>
      </c>
      <c r="F115" t="s">
        <v>249</v>
      </c>
      <c r="G115" t="s">
        <v>184</v>
      </c>
      <c r="L115" s="4">
        <v>8449</v>
      </c>
      <c r="M115" s="5" t="s">
        <v>118</v>
      </c>
      <c r="N115" s="2">
        <v>45623</v>
      </c>
      <c r="O115">
        <f t="shared" si="6"/>
        <v>13</v>
      </c>
      <c r="P115">
        <f t="shared" si="7"/>
        <v>26</v>
      </c>
      <c r="Q115" t="str">
        <f>IF(Table13[[#This Row],[مده التسليم (الفعليه)]]=0, "ملغي", IF(Table13[[#This Row],[مده التسليم (الفعليه)]]&gt;=Table13[[#This Row],[مده التسليم (المحدده)]], "تم في الموعد", "تأخر في التسليم"))</f>
        <v>تم في الموعد</v>
      </c>
      <c r="R115">
        <v>13</v>
      </c>
      <c r="S115">
        <v>26</v>
      </c>
      <c r="T115" t="s">
        <v>270</v>
      </c>
      <c r="U115" s="2">
        <v>45636</v>
      </c>
      <c r="V115" s="2">
        <v>45649</v>
      </c>
      <c r="W115" t="s">
        <v>130</v>
      </c>
    </row>
    <row r="116" spans="1:23" hidden="1" x14ac:dyDescent="0.3">
      <c r="A116" t="s">
        <v>185</v>
      </c>
      <c r="B116" t="s">
        <v>233</v>
      </c>
      <c r="C116" t="s">
        <v>257</v>
      </c>
      <c r="D116" t="s">
        <v>4</v>
      </c>
      <c r="E116" t="s">
        <v>123</v>
      </c>
      <c r="F116" t="s">
        <v>186</v>
      </c>
      <c r="G116" t="s">
        <v>187</v>
      </c>
      <c r="I116" t="s">
        <v>71</v>
      </c>
      <c r="J116" t="s">
        <v>106</v>
      </c>
      <c r="L116" s="4">
        <v>10249</v>
      </c>
      <c r="M116" s="5" t="s">
        <v>236</v>
      </c>
      <c r="N116" s="2">
        <v>45623</v>
      </c>
      <c r="O116">
        <f t="shared" si="6"/>
        <v>13</v>
      </c>
      <c r="P116">
        <f t="shared" si="7"/>
        <v>22</v>
      </c>
      <c r="Q116" t="str">
        <f>IF(Table13[[#This Row],[مده التسليم (الفعليه)]]=0, "ملغي", IF(Table13[[#This Row],[مده التسليم (الفعليه)]]&gt;=Table13[[#This Row],[مده التسليم (المحدده)]], "تم في الموعد", "تأخر في التسليم"))</f>
        <v>تم في الموعد</v>
      </c>
      <c r="R116">
        <v>13</v>
      </c>
      <c r="S116">
        <v>22</v>
      </c>
      <c r="T116" t="s">
        <v>270</v>
      </c>
      <c r="U116" s="2">
        <v>45636</v>
      </c>
      <c r="V116" s="2">
        <v>45645</v>
      </c>
      <c r="W116" t="s">
        <v>130</v>
      </c>
    </row>
    <row r="117" spans="1:23" x14ac:dyDescent="0.3">
      <c r="A117" t="s">
        <v>188</v>
      </c>
      <c r="B117" t="s">
        <v>233</v>
      </c>
      <c r="C117" t="s">
        <v>255</v>
      </c>
      <c r="D117" t="s">
        <v>4</v>
      </c>
      <c r="E117" t="s">
        <v>62</v>
      </c>
      <c r="F117" t="s">
        <v>70</v>
      </c>
      <c r="G117" t="s">
        <v>121</v>
      </c>
      <c r="H117">
        <v>100</v>
      </c>
      <c r="I117" t="s">
        <v>72</v>
      </c>
      <c r="L117" s="4">
        <v>14905</v>
      </c>
      <c r="M117" s="5" t="s">
        <v>118</v>
      </c>
      <c r="N117" s="2">
        <v>45625</v>
      </c>
      <c r="O117">
        <f t="shared" si="6"/>
        <v>16</v>
      </c>
      <c r="P117">
        <f t="shared" si="7"/>
        <v>0</v>
      </c>
      <c r="Q117" t="str">
        <f>IF(Table13[[#This Row],[مده التسليم (الفعليه)]]=0, "ملغي", IF(Table13[[#This Row],[مده التسليم (الفعليه)]]&gt;=Table13[[#This Row],[مده التسليم (المحدده)]], "تم في الموعد", "تأخر في التسليم"))</f>
        <v>ملغي</v>
      </c>
      <c r="R117">
        <v>16</v>
      </c>
      <c r="S117">
        <v>0</v>
      </c>
      <c r="T117" t="s">
        <v>272</v>
      </c>
      <c r="U117" s="2">
        <v>45641</v>
      </c>
      <c r="V117" s="2"/>
      <c r="W117" t="s">
        <v>97</v>
      </c>
    </row>
    <row r="118" spans="1:23" x14ac:dyDescent="0.3">
      <c r="A118" t="s">
        <v>189</v>
      </c>
      <c r="B118" t="s">
        <v>233</v>
      </c>
      <c r="C118" t="s">
        <v>27</v>
      </c>
      <c r="D118" t="s">
        <v>4</v>
      </c>
      <c r="E118" t="s">
        <v>123</v>
      </c>
      <c r="F118" t="s">
        <v>186</v>
      </c>
      <c r="G118" t="s">
        <v>187</v>
      </c>
      <c r="I118" t="s">
        <v>86</v>
      </c>
      <c r="J118" t="s">
        <v>107</v>
      </c>
      <c r="L118" s="4">
        <v>10249</v>
      </c>
      <c r="M118" s="5" t="s">
        <v>118</v>
      </c>
      <c r="N118" s="2">
        <v>45626</v>
      </c>
      <c r="O118">
        <f t="shared" si="6"/>
        <v>12</v>
      </c>
      <c r="P118">
        <f t="shared" si="7"/>
        <v>0</v>
      </c>
      <c r="Q118" t="str">
        <f>IF(Table13[[#This Row],[مده التسليم (الفعليه)]]=0, "ملغي", IF(Table13[[#This Row],[مده التسليم (الفعليه)]]&gt;=Table13[[#This Row],[مده التسليم (المحدده)]], "تم في الموعد", "تأخر في التسليم"))</f>
        <v>ملغي</v>
      </c>
      <c r="R118">
        <v>12</v>
      </c>
      <c r="S118">
        <v>0</v>
      </c>
      <c r="T118" t="s">
        <v>272</v>
      </c>
      <c r="U118" s="2">
        <v>45638</v>
      </c>
      <c r="V118" s="2"/>
      <c r="W118" t="s">
        <v>97</v>
      </c>
    </row>
    <row r="119" spans="1:23" x14ac:dyDescent="0.3">
      <c r="A119" t="s">
        <v>189</v>
      </c>
      <c r="B119" t="s">
        <v>233</v>
      </c>
      <c r="C119" t="s">
        <v>27</v>
      </c>
      <c r="D119" t="s">
        <v>4</v>
      </c>
      <c r="E119" t="s">
        <v>123</v>
      </c>
      <c r="F119" t="s">
        <v>83</v>
      </c>
      <c r="I119" t="s">
        <v>72</v>
      </c>
      <c r="J119" t="s">
        <v>108</v>
      </c>
      <c r="L119" s="4">
        <v>9029</v>
      </c>
      <c r="M119" s="5" t="s">
        <v>118</v>
      </c>
      <c r="N119" s="2">
        <v>45626</v>
      </c>
      <c r="O119">
        <f t="shared" si="6"/>
        <v>12</v>
      </c>
      <c r="P119">
        <f t="shared" si="7"/>
        <v>0</v>
      </c>
      <c r="Q119" t="str">
        <f>IF(Table13[[#This Row],[مده التسليم (الفعليه)]]=0, "ملغي", IF(Table13[[#This Row],[مده التسليم (الفعليه)]]&gt;=Table13[[#This Row],[مده التسليم (المحدده)]], "تم في الموعد", "تأخر في التسليم"))</f>
        <v>ملغي</v>
      </c>
      <c r="R119">
        <v>12</v>
      </c>
      <c r="S119">
        <v>0</v>
      </c>
      <c r="T119" t="s">
        <v>272</v>
      </c>
      <c r="U119" s="2">
        <v>45638</v>
      </c>
      <c r="V119" s="2"/>
      <c r="W119" t="s">
        <v>97</v>
      </c>
    </row>
    <row r="120" spans="1:23" x14ac:dyDescent="0.3">
      <c r="A120" t="s">
        <v>190</v>
      </c>
      <c r="B120" t="s">
        <v>233</v>
      </c>
      <c r="C120" t="s">
        <v>59</v>
      </c>
      <c r="D120" t="s">
        <v>4</v>
      </c>
      <c r="E120" t="s">
        <v>123</v>
      </c>
      <c r="F120" t="s">
        <v>191</v>
      </c>
      <c r="I120" t="s">
        <v>86</v>
      </c>
      <c r="J120" t="s">
        <v>109</v>
      </c>
      <c r="L120" s="4">
        <v>9029</v>
      </c>
      <c r="M120" s="5" t="s">
        <v>118</v>
      </c>
      <c r="N120" s="2">
        <v>45626</v>
      </c>
      <c r="O120">
        <f t="shared" si="6"/>
        <v>12</v>
      </c>
      <c r="P120">
        <f t="shared" si="7"/>
        <v>0</v>
      </c>
      <c r="Q120" t="str">
        <f>IF(Table13[[#This Row],[مده التسليم (الفعليه)]]=0, "ملغي", IF(Table13[[#This Row],[مده التسليم (الفعليه)]]&gt;=Table13[[#This Row],[مده التسليم (المحدده)]], "تم في الموعد", "تأخر في التسليم"))</f>
        <v>ملغي</v>
      </c>
      <c r="R120">
        <v>12</v>
      </c>
      <c r="S120">
        <v>0</v>
      </c>
      <c r="T120" t="s">
        <v>272</v>
      </c>
      <c r="U120" s="2">
        <v>45638</v>
      </c>
      <c r="V120" s="2"/>
      <c r="W120" t="s">
        <v>97</v>
      </c>
    </row>
    <row r="121" spans="1:23" x14ac:dyDescent="0.3">
      <c r="A121" t="s">
        <v>192</v>
      </c>
      <c r="B121" t="s">
        <v>233</v>
      </c>
      <c r="C121" t="s">
        <v>110</v>
      </c>
      <c r="D121" t="s">
        <v>4</v>
      </c>
      <c r="E121" t="s">
        <v>62</v>
      </c>
      <c r="F121" t="s">
        <v>176</v>
      </c>
      <c r="G121" t="s">
        <v>124</v>
      </c>
      <c r="H121">
        <v>80</v>
      </c>
      <c r="I121" t="s">
        <v>71</v>
      </c>
      <c r="L121" s="4">
        <v>12099</v>
      </c>
      <c r="M121" s="5" t="s">
        <v>118</v>
      </c>
      <c r="N121" s="2">
        <v>45628</v>
      </c>
      <c r="O121">
        <f t="shared" si="6"/>
        <v>15</v>
      </c>
      <c r="P121">
        <f t="shared" si="7"/>
        <v>0</v>
      </c>
      <c r="Q121" t="str">
        <f>IF(Table13[[#This Row],[مده التسليم (الفعليه)]]=0, "ملغي", IF(Table13[[#This Row],[مده التسليم (الفعليه)]]&gt;=Table13[[#This Row],[مده التسليم (المحدده)]], "تم في الموعد", "تأخر في التسليم"))</f>
        <v>ملغي</v>
      </c>
      <c r="R121">
        <v>15</v>
      </c>
      <c r="S121">
        <v>0</v>
      </c>
      <c r="T121" t="s">
        <v>272</v>
      </c>
      <c r="U121" s="2">
        <v>45643</v>
      </c>
      <c r="V121" s="2"/>
      <c r="W121" t="s">
        <v>97</v>
      </c>
    </row>
    <row r="122" spans="1:23" hidden="1" x14ac:dyDescent="0.3">
      <c r="A122" t="s">
        <v>135</v>
      </c>
      <c r="B122" t="s">
        <v>234</v>
      </c>
      <c r="C122" t="s">
        <v>265</v>
      </c>
      <c r="D122" t="s">
        <v>250</v>
      </c>
      <c r="E122" t="s">
        <v>62</v>
      </c>
      <c r="F122" t="s">
        <v>176</v>
      </c>
      <c r="G122" t="s">
        <v>177</v>
      </c>
      <c r="H122">
        <v>90</v>
      </c>
      <c r="I122" t="s">
        <v>73</v>
      </c>
      <c r="L122" s="4">
        <v>5217</v>
      </c>
      <c r="M122" s="5" t="s">
        <v>136</v>
      </c>
      <c r="N122" s="2">
        <v>45627</v>
      </c>
      <c r="O122">
        <f t="shared" si="6"/>
        <v>13</v>
      </c>
      <c r="P122">
        <f t="shared" si="7"/>
        <v>9</v>
      </c>
      <c r="Q122" t="str">
        <f>IF(Table13[[#This Row],[مده التسليم (الفعليه)]]=0, "ملغي", IF(Table13[[#This Row],[مده التسليم (الفعليه)]]&gt;=Table13[[#This Row],[مده التسليم (المحدده)]], "تم في الموعد", "تأخر في التسليم"))</f>
        <v>تأخر في التسليم</v>
      </c>
      <c r="R122">
        <v>13</v>
      </c>
      <c r="S122">
        <v>9</v>
      </c>
      <c r="T122" t="s">
        <v>269</v>
      </c>
      <c r="U122" s="2">
        <v>45640</v>
      </c>
      <c r="V122" s="2">
        <v>45636</v>
      </c>
      <c r="W122" t="s">
        <v>130</v>
      </c>
    </row>
    <row r="123" spans="1:23" hidden="1" x14ac:dyDescent="0.3">
      <c r="A123" t="s">
        <v>230</v>
      </c>
      <c r="B123" t="s">
        <v>233</v>
      </c>
      <c r="C123" t="s">
        <v>55</v>
      </c>
      <c r="D123" t="s">
        <v>4</v>
      </c>
      <c r="E123" t="s">
        <v>62</v>
      </c>
      <c r="F123" t="s">
        <v>63</v>
      </c>
      <c r="I123" t="s">
        <v>72</v>
      </c>
      <c r="J123" t="s">
        <v>72</v>
      </c>
      <c r="L123" s="4">
        <v>10249</v>
      </c>
      <c r="M123" s="5" t="s">
        <v>236</v>
      </c>
      <c r="N123" s="2">
        <v>45630</v>
      </c>
      <c r="O123">
        <f t="shared" si="6"/>
        <v>10</v>
      </c>
      <c r="P123">
        <f t="shared" si="7"/>
        <v>15</v>
      </c>
      <c r="Q123" t="str">
        <f>IF(Table13[[#This Row],[مده التسليم (الفعليه)]]=0, "ملغي", IF(Table13[[#This Row],[مده التسليم (الفعليه)]]&gt;=Table13[[#This Row],[مده التسليم (المحدده)]], "تم في الموعد", "تأخر في التسليم"))</f>
        <v>تم في الموعد</v>
      </c>
      <c r="R123">
        <v>10</v>
      </c>
      <c r="S123">
        <v>15</v>
      </c>
      <c r="T123" t="s">
        <v>270</v>
      </c>
      <c r="U123" s="2">
        <v>45640</v>
      </c>
      <c r="V123" s="2">
        <v>45645</v>
      </c>
      <c r="W123" t="s">
        <v>130</v>
      </c>
    </row>
    <row r="124" spans="1:23" hidden="1" x14ac:dyDescent="0.3">
      <c r="A124" t="s">
        <v>193</v>
      </c>
      <c r="B124" t="s">
        <v>233</v>
      </c>
      <c r="C124" t="s">
        <v>112</v>
      </c>
      <c r="D124" t="s">
        <v>20</v>
      </c>
      <c r="E124" t="s">
        <v>62</v>
      </c>
      <c r="F124" t="s">
        <v>70</v>
      </c>
      <c r="G124" t="s">
        <v>128</v>
      </c>
      <c r="I124" t="s">
        <v>72</v>
      </c>
      <c r="L124" s="4">
        <v>10445</v>
      </c>
      <c r="M124" s="5" t="s">
        <v>236</v>
      </c>
      <c r="N124" s="2">
        <v>45635</v>
      </c>
      <c r="O124">
        <f t="shared" si="6"/>
        <v>22</v>
      </c>
      <c r="P124">
        <f t="shared" si="7"/>
        <v>3</v>
      </c>
      <c r="Q124" t="str">
        <f>IF(Table13[[#This Row],[مده التسليم (الفعليه)]]=0, "ملغي", IF(Table13[[#This Row],[مده التسليم (الفعليه)]]&gt;=Table13[[#This Row],[مده التسليم (المحدده)]], "تم في الموعد", "تأخر في التسليم"))</f>
        <v>تأخر في التسليم</v>
      </c>
      <c r="R124">
        <v>22</v>
      </c>
      <c r="S124">
        <v>3</v>
      </c>
      <c r="T124" t="s">
        <v>269</v>
      </c>
      <c r="U124" s="2">
        <v>45657</v>
      </c>
      <c r="V124" s="2">
        <v>45638</v>
      </c>
      <c r="W124" t="s">
        <v>130</v>
      </c>
    </row>
    <row r="125" spans="1:23" hidden="1" x14ac:dyDescent="0.3">
      <c r="A125" t="s">
        <v>231</v>
      </c>
      <c r="B125" t="s">
        <v>233</v>
      </c>
      <c r="C125" t="s">
        <v>27</v>
      </c>
      <c r="D125" t="s">
        <v>4</v>
      </c>
      <c r="E125" t="s">
        <v>123</v>
      </c>
      <c r="F125" t="s">
        <v>194</v>
      </c>
      <c r="G125" t="s">
        <v>187</v>
      </c>
      <c r="I125" t="s">
        <v>86</v>
      </c>
      <c r="J125" t="s">
        <v>107</v>
      </c>
      <c r="L125" s="4">
        <v>11199</v>
      </c>
      <c r="M125" s="5" t="s">
        <v>236</v>
      </c>
      <c r="N125" s="2">
        <v>45638</v>
      </c>
      <c r="O125">
        <f t="shared" si="6"/>
        <v>12</v>
      </c>
      <c r="P125">
        <f t="shared" si="7"/>
        <v>7</v>
      </c>
      <c r="Q125" t="str">
        <f>IF(Table13[[#This Row],[مده التسليم (الفعليه)]]=0, "ملغي", IF(Table13[[#This Row],[مده التسليم (الفعليه)]]&gt;=Table13[[#This Row],[مده التسليم (المحدده)]], "تم في الموعد", "تأخر في التسليم"))</f>
        <v>تأخر في التسليم</v>
      </c>
      <c r="R125">
        <v>12</v>
      </c>
      <c r="S125">
        <v>7</v>
      </c>
      <c r="T125" t="s">
        <v>269</v>
      </c>
      <c r="U125" s="2">
        <v>45650</v>
      </c>
      <c r="V125" s="2">
        <v>45645</v>
      </c>
      <c r="W125" t="s">
        <v>130</v>
      </c>
    </row>
    <row r="126" spans="1:23" hidden="1" x14ac:dyDescent="0.3">
      <c r="A126" t="s">
        <v>195</v>
      </c>
      <c r="B126" t="s">
        <v>233</v>
      </c>
      <c r="C126" t="s">
        <v>232</v>
      </c>
      <c r="D126" t="s">
        <v>4</v>
      </c>
      <c r="E126" t="s">
        <v>62</v>
      </c>
      <c r="F126" t="s">
        <v>70</v>
      </c>
      <c r="G126" t="s">
        <v>124</v>
      </c>
      <c r="H126">
        <v>80</v>
      </c>
      <c r="I126" t="s">
        <v>72</v>
      </c>
      <c r="L126" s="4">
        <v>13099</v>
      </c>
      <c r="M126" s="5" t="s">
        <v>236</v>
      </c>
      <c r="N126" s="2">
        <v>45638</v>
      </c>
      <c r="O126">
        <f t="shared" si="6"/>
        <v>16</v>
      </c>
      <c r="P126">
        <f t="shared" si="7"/>
        <v>17</v>
      </c>
      <c r="Q126" t="str">
        <f>IF(Table13[[#This Row],[مده التسليم (الفعليه)]]=0, "ملغي", IF(Table13[[#This Row],[مده التسليم (الفعليه)]]&gt;=Table13[[#This Row],[مده التسليم (المحدده)]], "تم في الموعد", "تأخر في التسليم"))</f>
        <v>تم في الموعد</v>
      </c>
      <c r="R126">
        <v>16</v>
      </c>
      <c r="S126">
        <v>17</v>
      </c>
      <c r="T126" t="s">
        <v>270</v>
      </c>
      <c r="U126" s="2">
        <v>45654</v>
      </c>
      <c r="V126" s="2">
        <v>45655</v>
      </c>
      <c r="W126" t="s">
        <v>130</v>
      </c>
    </row>
    <row r="127" spans="1:23" hidden="1" x14ac:dyDescent="0.3">
      <c r="A127" t="s">
        <v>20</v>
      </c>
      <c r="B127" t="s">
        <v>234</v>
      </c>
      <c r="C127" t="s">
        <v>158</v>
      </c>
      <c r="D127" t="s">
        <v>20</v>
      </c>
      <c r="E127" t="s">
        <v>85</v>
      </c>
      <c r="F127" t="s">
        <v>153</v>
      </c>
      <c r="G127" t="s">
        <v>172</v>
      </c>
      <c r="I127" t="s">
        <v>86</v>
      </c>
      <c r="J127" t="s">
        <v>111</v>
      </c>
      <c r="L127" s="4">
        <v>8700</v>
      </c>
      <c r="M127" s="5" t="s">
        <v>136</v>
      </c>
      <c r="N127" s="2">
        <v>45640</v>
      </c>
      <c r="O127">
        <f t="shared" si="6"/>
        <v>22</v>
      </c>
      <c r="P127">
        <f t="shared" si="7"/>
        <v>15</v>
      </c>
      <c r="Q127" t="str">
        <f>IF(Table13[[#This Row],[مده التسليم (الفعليه)]]=0, "ملغي", IF(Table13[[#This Row],[مده التسليم (الفعليه)]]&gt;=Table13[[#This Row],[مده التسليم (المحدده)]], "تم في الموعد", "تأخر في التسليم"))</f>
        <v>تأخر في التسليم</v>
      </c>
      <c r="R127">
        <v>22</v>
      </c>
      <c r="S127">
        <v>15</v>
      </c>
      <c r="T127" t="s">
        <v>269</v>
      </c>
      <c r="U127" s="2">
        <v>45662</v>
      </c>
      <c r="V127" s="2">
        <v>45655</v>
      </c>
      <c r="W127" t="s">
        <v>130</v>
      </c>
    </row>
  </sheetData>
  <phoneticPr fontId="6"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2DE09-6DBD-4087-A90D-8203ADEAEC35}">
  <sheetPr codeName="Sheet2">
    <tabColor rgb="FF000033"/>
  </sheetPr>
  <dimension ref="A1:BN30"/>
  <sheetViews>
    <sheetView topLeftCell="BA1" zoomScale="87" zoomScaleNormal="100" workbookViewId="0">
      <selection activeCell="BH1" sqref="BH1:BL1"/>
    </sheetView>
  </sheetViews>
  <sheetFormatPr defaultRowHeight="14.4" x14ac:dyDescent="0.3"/>
  <cols>
    <col min="2" max="2" width="15" bestFit="1" customWidth="1"/>
    <col min="3" max="3" width="19.21875" bestFit="1" customWidth="1"/>
    <col min="4" max="4" width="8.88671875" style="1"/>
    <col min="6" max="6" width="18.5546875" bestFit="1" customWidth="1"/>
    <col min="9" max="9" width="14.21875" bestFit="1" customWidth="1"/>
    <col min="10" max="10" width="8.88671875" style="6"/>
    <col min="12" max="12" width="4.88671875" customWidth="1"/>
    <col min="13" max="13" width="13.109375" bestFit="1" customWidth="1"/>
    <col min="14" max="14" width="16.33203125" bestFit="1" customWidth="1"/>
    <col min="15" max="15" width="23.6640625" bestFit="1" customWidth="1"/>
    <col min="16" max="16" width="8.88671875" style="1"/>
    <col min="18" max="18" width="5.21875" customWidth="1"/>
    <col min="19" max="19" width="26.44140625" bestFit="1" customWidth="1"/>
    <col min="20" max="20" width="22.21875" bestFit="1" customWidth="1"/>
    <col min="21" max="21" width="17.5546875" bestFit="1" customWidth="1"/>
    <col min="22" max="22" width="8.5546875" style="1" customWidth="1"/>
    <col min="23" max="23" width="3.88671875" bestFit="1" customWidth="1"/>
    <col min="24" max="24" width="4.21875" bestFit="1" customWidth="1"/>
    <col min="25" max="25" width="4.6640625" bestFit="1" customWidth="1"/>
    <col min="26" max="26" width="13.109375" bestFit="1" customWidth="1"/>
    <col min="27" max="27" width="14.109375" bestFit="1" customWidth="1"/>
    <col min="28" max="28" width="17.5546875" customWidth="1"/>
    <col min="29" max="29" width="4" bestFit="1" customWidth="1"/>
    <col min="30" max="30" width="2.6640625" bestFit="1" customWidth="1"/>
    <col min="31" max="31" width="5.5546875" style="1" bestFit="1" customWidth="1"/>
    <col min="32" max="32" width="11.88671875" customWidth="1"/>
    <col min="33" max="33" width="5.109375" hidden="1" customWidth="1"/>
    <col min="34" max="34" width="13.109375" bestFit="1" customWidth="1"/>
    <col min="35" max="35" width="16.44140625" bestFit="1" customWidth="1"/>
    <col min="36" max="36" width="5.5546875" customWidth="1"/>
    <col min="37" max="37" width="8.33203125" bestFit="1" customWidth="1"/>
    <col min="38" max="38" width="4.6640625" bestFit="1" customWidth="1"/>
    <col min="39" max="39" width="5.109375" bestFit="1" customWidth="1"/>
    <col min="40" max="40" width="5.5546875" style="1" bestFit="1" customWidth="1"/>
    <col min="41" max="41" width="5.77734375" bestFit="1" customWidth="1"/>
    <col min="42" max="42" width="13.109375" bestFit="1" customWidth="1"/>
    <col min="43" max="43" width="17.44140625" bestFit="1" customWidth="1"/>
    <col min="44" max="44" width="10.77734375" bestFit="1" customWidth="1"/>
    <col min="47" max="47" width="7.109375" style="1" customWidth="1"/>
    <col min="49" max="49" width="13.109375" bestFit="1" customWidth="1"/>
    <col min="50" max="50" width="18.33203125" bestFit="1" customWidth="1"/>
    <col min="53" max="53" width="8.88671875" style="1"/>
    <col min="55" max="55" width="13.109375" bestFit="1" customWidth="1"/>
    <col min="56" max="56" width="13.44140625" bestFit="1" customWidth="1"/>
    <col min="59" max="59" width="8.88671875" style="1"/>
    <col min="61" max="61" width="13.109375" bestFit="1" customWidth="1"/>
    <col min="62" max="62" width="14.109375" bestFit="1" customWidth="1"/>
  </cols>
  <sheetData>
    <row r="1" spans="1:66" ht="25.8" x14ac:dyDescent="0.5">
      <c r="A1" s="15" t="s">
        <v>239</v>
      </c>
      <c r="B1" s="15"/>
      <c r="C1" s="15"/>
      <c r="E1" s="16" t="s">
        <v>242</v>
      </c>
      <c r="F1" s="16"/>
      <c r="G1" s="16"/>
      <c r="H1" s="16"/>
      <c r="I1" s="16"/>
      <c r="K1" s="16" t="s">
        <v>245</v>
      </c>
      <c r="L1" s="16"/>
      <c r="M1" s="16"/>
      <c r="N1" s="16"/>
      <c r="O1" s="16"/>
      <c r="Q1" s="16" t="s">
        <v>247</v>
      </c>
      <c r="R1" s="16"/>
      <c r="S1" s="16"/>
      <c r="T1" s="16"/>
      <c r="U1" s="16"/>
      <c r="W1" s="17" t="s">
        <v>253</v>
      </c>
      <c r="X1" s="17"/>
      <c r="Y1" s="17"/>
      <c r="Z1" s="17"/>
      <c r="AA1" s="17"/>
      <c r="AB1" s="17"/>
      <c r="AF1" s="17" t="s">
        <v>254</v>
      </c>
      <c r="AG1" s="17"/>
      <c r="AH1" s="17"/>
      <c r="AI1" s="17"/>
      <c r="AJ1" s="17"/>
      <c r="AO1" s="17" t="s">
        <v>267</v>
      </c>
      <c r="AP1" s="17"/>
      <c r="AQ1" s="17"/>
      <c r="AR1" s="17"/>
      <c r="AS1" s="17"/>
      <c r="AT1" s="10"/>
      <c r="AV1" s="17" t="s">
        <v>273</v>
      </c>
      <c r="AW1" s="17"/>
      <c r="AX1" s="17"/>
      <c r="AY1" s="17"/>
      <c r="AZ1" s="17"/>
      <c r="BA1" s="12"/>
      <c r="BB1" s="17" t="s">
        <v>276</v>
      </c>
      <c r="BC1" s="17"/>
      <c r="BD1" s="17"/>
      <c r="BE1" s="17"/>
      <c r="BF1" s="17"/>
      <c r="BH1" s="17" t="s">
        <v>277</v>
      </c>
      <c r="BI1" s="17"/>
      <c r="BJ1" s="17"/>
      <c r="BK1" s="17"/>
      <c r="BL1" s="17"/>
    </row>
    <row r="3" spans="1:66" x14ac:dyDescent="0.3">
      <c r="B3" t="s">
        <v>240</v>
      </c>
      <c r="F3" t="s">
        <v>241</v>
      </c>
      <c r="M3" s="7" t="s">
        <v>243</v>
      </c>
      <c r="N3" t="s">
        <v>244</v>
      </c>
      <c r="S3" t="s">
        <v>248</v>
      </c>
      <c r="Z3" s="7" t="s">
        <v>243</v>
      </c>
      <c r="AA3" t="s">
        <v>252</v>
      </c>
      <c r="AH3" s="7" t="s">
        <v>243</v>
      </c>
      <c r="AI3" t="s">
        <v>263</v>
      </c>
      <c r="AP3" s="7" t="s">
        <v>243</v>
      </c>
      <c r="AQ3" t="s">
        <v>271</v>
      </c>
      <c r="AW3" s="7" t="s">
        <v>243</v>
      </c>
      <c r="AX3" t="s">
        <v>274</v>
      </c>
      <c r="BC3" s="7" t="s">
        <v>243</v>
      </c>
      <c r="BD3" t="s">
        <v>275</v>
      </c>
      <c r="BI3" s="7" t="s">
        <v>243</v>
      </c>
      <c r="BJ3" t="s">
        <v>252</v>
      </c>
    </row>
    <row r="4" spans="1:66" x14ac:dyDescent="0.3">
      <c r="B4" s="5">
        <v>1266485.81544</v>
      </c>
      <c r="F4" s="5">
        <v>10381.031274098361</v>
      </c>
      <c r="M4" s="8" t="s">
        <v>233</v>
      </c>
      <c r="N4" s="9">
        <v>0.72222222222222221</v>
      </c>
      <c r="S4" s="18">
        <v>15.325396825396826</v>
      </c>
      <c r="Z4" s="8" t="s">
        <v>4</v>
      </c>
      <c r="AA4" s="18">
        <v>78</v>
      </c>
      <c r="AH4" s="8" t="s">
        <v>232</v>
      </c>
      <c r="AI4" s="18">
        <v>22</v>
      </c>
      <c r="AP4" s="8" t="s">
        <v>269</v>
      </c>
      <c r="AQ4" s="9">
        <v>0.31746031746031744</v>
      </c>
      <c r="AW4" s="8" t="s">
        <v>118</v>
      </c>
      <c r="AX4" s="9">
        <v>0.50793650793650791</v>
      </c>
      <c r="BC4" s="8" t="s">
        <v>130</v>
      </c>
      <c r="BD4" s="11">
        <v>0.80952380952380953</v>
      </c>
      <c r="BI4" s="8" t="s">
        <v>62</v>
      </c>
      <c r="BJ4" s="18">
        <v>88</v>
      </c>
    </row>
    <row r="5" spans="1:66" x14ac:dyDescent="0.3">
      <c r="M5" s="8" t="s">
        <v>234</v>
      </c>
      <c r="N5" s="9">
        <v>0.27777777777777779</v>
      </c>
      <c r="Z5" s="8" t="s">
        <v>20</v>
      </c>
      <c r="AA5" s="18">
        <v>16</v>
      </c>
      <c r="AH5" s="8" t="s">
        <v>27</v>
      </c>
      <c r="AI5" s="18">
        <v>14</v>
      </c>
      <c r="AP5" s="8" t="s">
        <v>270</v>
      </c>
      <c r="AQ5" s="9">
        <v>0.48412698412698413</v>
      </c>
      <c r="AW5" s="8" t="s">
        <v>236</v>
      </c>
      <c r="AX5" s="9">
        <v>0.34920634920634919</v>
      </c>
      <c r="BC5" s="8" t="s">
        <v>97</v>
      </c>
      <c r="BD5" s="11">
        <v>0.19047619047619047</v>
      </c>
      <c r="BI5" s="8" t="s">
        <v>85</v>
      </c>
      <c r="BJ5" s="18">
        <v>18</v>
      </c>
    </row>
    <row r="6" spans="1:66" x14ac:dyDescent="0.3">
      <c r="Z6" s="8" t="s">
        <v>250</v>
      </c>
      <c r="AA6" s="18">
        <v>13</v>
      </c>
      <c r="AH6" s="8" t="s">
        <v>13</v>
      </c>
      <c r="AI6" s="18">
        <v>10</v>
      </c>
      <c r="AP6" s="8" t="s">
        <v>272</v>
      </c>
      <c r="AQ6" s="9">
        <v>0.1984126984126984</v>
      </c>
      <c r="AW6" s="8" t="s">
        <v>136</v>
      </c>
      <c r="AX6" s="9">
        <v>0.1111111111111111</v>
      </c>
      <c r="BI6" s="8" t="s">
        <v>123</v>
      </c>
      <c r="BJ6" s="18">
        <v>17</v>
      </c>
    </row>
    <row r="7" spans="1:66" x14ac:dyDescent="0.3">
      <c r="B7" s="5">
        <f>GETPIVOTDATA("سعر البيع ",$B$3)</f>
        <v>1266485.81544</v>
      </c>
      <c r="F7" s="5">
        <f>GETPIVOTDATA("سعر البيع ",$F$3)</f>
        <v>10381.031274098361</v>
      </c>
      <c r="Z7" s="8" t="s">
        <v>14</v>
      </c>
      <c r="AA7" s="18">
        <v>9</v>
      </c>
      <c r="AH7" s="8" t="s">
        <v>249</v>
      </c>
      <c r="AI7" s="18">
        <v>8</v>
      </c>
      <c r="AW7" s="8" t="s">
        <v>235</v>
      </c>
      <c r="AX7" s="9">
        <v>3.1746031746031744E-2</v>
      </c>
      <c r="BI7" s="8" t="s">
        <v>65</v>
      </c>
      <c r="BJ7" s="18">
        <v>1</v>
      </c>
    </row>
    <row r="8" spans="1:66" x14ac:dyDescent="0.3">
      <c r="M8" s="8" t="s">
        <v>246</v>
      </c>
      <c r="N8" s="9">
        <f>GETPIVOTDATA("نوع العميل",$M$3,"نوع العميل","أفراد")</f>
        <v>0.72222222222222221</v>
      </c>
      <c r="S8" s="4">
        <f>GETPIVOTDATA("مده التسليم (الفعليه)",$S$3)</f>
        <v>15.325396825396826</v>
      </c>
      <c r="Z8" s="8" t="s">
        <v>87</v>
      </c>
      <c r="AA8" s="18">
        <v>4</v>
      </c>
      <c r="AH8" s="8" t="s">
        <v>112</v>
      </c>
      <c r="AI8" s="18">
        <v>7</v>
      </c>
      <c r="BC8" t="str" cm="1">
        <f t="array" ref="BC8:BD9">BC4:$BD$5</f>
        <v>تم التسليم</v>
      </c>
      <c r="BD8" s="13">
        <v>0.80952380952380953</v>
      </c>
      <c r="BI8" s="8" t="s">
        <v>68</v>
      </c>
      <c r="BJ8" s="18">
        <v>1</v>
      </c>
    </row>
    <row r="9" spans="1:66" x14ac:dyDescent="0.3">
      <c r="M9" s="8" t="s">
        <v>234</v>
      </c>
      <c r="N9" s="9">
        <f>GETPIVOTDATA("نوع العميل",$M$3,"نوع العميل","شركات")</f>
        <v>0.27777777777777779</v>
      </c>
      <c r="Z9" s="8" t="s">
        <v>125</v>
      </c>
      <c r="AA9" s="18">
        <v>3</v>
      </c>
      <c r="AH9" s="8" t="s">
        <v>44</v>
      </c>
      <c r="AI9" s="18">
        <v>7</v>
      </c>
      <c r="AP9" t="str" cm="1">
        <f t="array" ref="AP9:AQ11">AP4:$AQ$6</f>
        <v>تأخر في التسليم</v>
      </c>
      <c r="AQ9" s="9">
        <v>0.31746031746031744</v>
      </c>
      <c r="BC9" t="str">
        <v>لاغى</v>
      </c>
      <c r="BD9" s="13">
        <v>0.19047619047619047</v>
      </c>
      <c r="BI9" s="8" t="s">
        <v>92</v>
      </c>
      <c r="BJ9" s="18">
        <v>1</v>
      </c>
    </row>
    <row r="10" spans="1:66" x14ac:dyDescent="0.3">
      <c r="Z10" s="8" t="s">
        <v>101</v>
      </c>
      <c r="AA10" s="18">
        <v>2</v>
      </c>
      <c r="AH10" s="8" t="s">
        <v>257</v>
      </c>
      <c r="AI10" s="18">
        <v>6</v>
      </c>
      <c r="AP10" t="str">
        <v>تم في الموعد</v>
      </c>
      <c r="AQ10" s="9">
        <v>0.48412698412698413</v>
      </c>
      <c r="BN10" s="14"/>
    </row>
    <row r="11" spans="1:66" x14ac:dyDescent="0.3">
      <c r="Z11" s="8" t="s">
        <v>251</v>
      </c>
      <c r="AA11" s="18">
        <v>1</v>
      </c>
      <c r="AH11" s="8" t="s">
        <v>265</v>
      </c>
      <c r="AI11" s="18">
        <v>5</v>
      </c>
      <c r="AP11" t="str">
        <v>ملغي</v>
      </c>
      <c r="AQ11" s="9">
        <v>0.1984126984126984</v>
      </c>
      <c r="AW11" t="str" cm="1">
        <f t="array" ref="AW11:AX14">AW4:$AX$7</f>
        <v>مسبق الدفع</v>
      </c>
      <c r="AX11" s="13">
        <v>0.50793650793650791</v>
      </c>
    </row>
    <row r="12" spans="1:66" x14ac:dyDescent="0.3">
      <c r="AH12" s="8" t="s">
        <v>255</v>
      </c>
      <c r="AI12" s="18">
        <v>5</v>
      </c>
      <c r="AW12" t="str">
        <v>كاش</v>
      </c>
      <c r="AX12" s="13">
        <v>0.34920634920634919</v>
      </c>
    </row>
    <row r="13" spans="1:66" x14ac:dyDescent="0.3">
      <c r="AH13" s="8" t="s">
        <v>258</v>
      </c>
      <c r="AI13" s="18">
        <v>4</v>
      </c>
      <c r="AW13" t="str">
        <v>حساب شركه</v>
      </c>
      <c r="AX13" s="13">
        <v>0.1111111111111111</v>
      </c>
      <c r="BI13" t="str" cm="1">
        <f t="array" ref="BI13:BJ18">$BI$4:$BJ$9</f>
        <v>سرير</v>
      </c>
      <c r="BJ13">
        <v>88</v>
      </c>
    </row>
    <row r="14" spans="1:66" x14ac:dyDescent="0.3">
      <c r="AH14" s="8" t="s">
        <v>35</v>
      </c>
      <c r="AI14" s="18">
        <v>4</v>
      </c>
      <c r="AW14" t="str">
        <v>غير موجود</v>
      </c>
      <c r="AX14" s="13">
        <v>3.1746031746031744E-2</v>
      </c>
      <c r="BI14" t="str">
        <v>كنبه</v>
      </c>
      <c r="BJ14">
        <v>18</v>
      </c>
    </row>
    <row r="15" spans="1:66" x14ac:dyDescent="0.3">
      <c r="Z15" t="str" cm="1">
        <f t="array" ref="Z15:AA15">Z4:$AA$4</f>
        <v>هومزمارت</v>
      </c>
      <c r="AA15">
        <v>78</v>
      </c>
      <c r="AH15" s="8" t="s">
        <v>266</v>
      </c>
      <c r="AI15" s="18">
        <v>4</v>
      </c>
      <c r="BI15" t="str">
        <v>تربيزه</v>
      </c>
      <c r="BJ15">
        <v>17</v>
      </c>
    </row>
    <row r="16" spans="1:66" x14ac:dyDescent="0.3">
      <c r="Z16" t="str" cm="1">
        <f t="array" ref="Z16:AA16">Z5:AA5</f>
        <v>شيك هومز</v>
      </c>
      <c r="AA16">
        <v>16</v>
      </c>
      <c r="BI16" t="str">
        <v>ركنة</v>
      </c>
      <c r="BJ16">
        <v>1</v>
      </c>
    </row>
    <row r="17" spans="26:62" x14ac:dyDescent="0.3">
      <c r="Z17" t="str" cm="1">
        <f t="array" ref="Z17:AA17">Z6:AA6</f>
        <v>اوسكار ريتن</v>
      </c>
      <c r="AA17">
        <v>13</v>
      </c>
      <c r="BI17" t="str">
        <v>كرسى</v>
      </c>
      <c r="BJ17">
        <v>1</v>
      </c>
    </row>
    <row r="18" spans="26:62" x14ac:dyDescent="0.3">
      <c r="Z18" t="str" cm="1">
        <f t="array" ref="Z18:AA18">Z7:AA7</f>
        <v>تاكى</v>
      </c>
      <c r="AA18">
        <v>9</v>
      </c>
      <c r="BI18" t="str">
        <v>شيزلونج</v>
      </c>
      <c r="BJ18">
        <v>1</v>
      </c>
    </row>
    <row r="19" spans="26:62" x14ac:dyDescent="0.3">
      <c r="Z19" t="str" cm="1">
        <f t="array" ref="Z19:AA19">Z8:AA8</f>
        <v>السويس</v>
      </c>
      <c r="AA19">
        <v>4</v>
      </c>
      <c r="AH19" t="str" cm="1">
        <f t="array" ref="AH19:AI30">AH4:$AI$15</f>
        <v>الجيزه</v>
      </c>
      <c r="AI19">
        <v>22</v>
      </c>
    </row>
    <row r="20" spans="26:62" x14ac:dyDescent="0.3">
      <c r="Z20" t="str" cm="1">
        <f t="array" ref="Z20:AA20">Z9:AA9</f>
        <v>فيس بوك</v>
      </c>
      <c r="AA20">
        <v>3</v>
      </c>
      <c r="AH20" t="str">
        <v>القاهره الجديده</v>
      </c>
      <c r="AI20">
        <v>14</v>
      </c>
    </row>
    <row r="21" spans="26:62" x14ac:dyDescent="0.3">
      <c r="Z21" t="str" cm="1">
        <f t="array" ref="Z21:AA21">Z10:AA10</f>
        <v>منزلى</v>
      </c>
      <c r="AA21">
        <v>2</v>
      </c>
      <c r="AH21" t="str">
        <v>العباسيه</v>
      </c>
      <c r="AI21">
        <v>10</v>
      </c>
    </row>
    <row r="22" spans="26:62" x14ac:dyDescent="0.3">
      <c r="Z22" t="str" cm="1">
        <f t="array" ref="Z22:AA22">Z11:AA11</f>
        <v>كيمت</v>
      </c>
      <c r="AA22">
        <v>1</v>
      </c>
      <c r="AH22" t="str">
        <v>غير معروف</v>
      </c>
      <c r="AI22">
        <v>8</v>
      </c>
    </row>
    <row r="23" spans="26:62" x14ac:dyDescent="0.3">
      <c r="AH23" t="str">
        <v>التجمع الخامس</v>
      </c>
      <c r="AI23">
        <v>7</v>
      </c>
    </row>
    <row r="24" spans="26:62" x14ac:dyDescent="0.3">
      <c r="AH24" t="str">
        <v>المعادى</v>
      </c>
      <c r="AI24">
        <v>7</v>
      </c>
    </row>
    <row r="25" spans="26:62" x14ac:dyDescent="0.3">
      <c r="AH25" t="str">
        <v>مدينه نصر</v>
      </c>
      <c r="AI25">
        <v>6</v>
      </c>
    </row>
    <row r="26" spans="26:62" x14ac:dyDescent="0.3">
      <c r="AH26" t="str">
        <v>ابو الغيط</v>
      </c>
      <c r="AI26">
        <v>5</v>
      </c>
    </row>
    <row r="27" spans="26:62" x14ac:dyDescent="0.3">
      <c r="AH27" t="str">
        <v>اسكندريه</v>
      </c>
      <c r="AI27">
        <v>5</v>
      </c>
    </row>
    <row r="28" spans="26:62" x14ac:dyDescent="0.3">
      <c r="AH28" t="str">
        <v>المقطم</v>
      </c>
      <c r="AI28">
        <v>4</v>
      </c>
    </row>
    <row r="29" spans="26:62" x14ac:dyDescent="0.3">
      <c r="AH29" t="str">
        <v>الشروق</v>
      </c>
      <c r="AI29">
        <v>4</v>
      </c>
    </row>
    <row r="30" spans="26:62" x14ac:dyDescent="0.3">
      <c r="AH30" t="str">
        <v>القناطر</v>
      </c>
      <c r="AI30">
        <v>4</v>
      </c>
    </row>
  </sheetData>
  <mergeCells count="10">
    <mergeCell ref="BH1:BL1"/>
    <mergeCell ref="BB1:BF1"/>
    <mergeCell ref="AF1:AJ1"/>
    <mergeCell ref="AO1:AS1"/>
    <mergeCell ref="AV1:AZ1"/>
    <mergeCell ref="A1:C1"/>
    <mergeCell ref="E1:I1"/>
    <mergeCell ref="K1:O1"/>
    <mergeCell ref="Q1:U1"/>
    <mergeCell ref="W1:A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4FD4-8873-42D6-A453-4111C3C01F10}">
  <sheetPr codeName="Sheet3">
    <tabColor rgb="FF000033"/>
  </sheetPr>
  <dimension ref="A1:W30"/>
  <sheetViews>
    <sheetView showGridLines="0" tabSelected="1" zoomScaleNormal="100" workbookViewId="0">
      <selection activeCell="I17" sqref="I17"/>
    </sheetView>
  </sheetViews>
  <sheetFormatPr defaultRowHeight="14.4" x14ac:dyDescent="0.3"/>
  <cols>
    <col min="10" max="10" width="8.88671875"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x14ac:dyDescent="0.3">
      <c r="A3" s="1"/>
      <c r="B3" s="1"/>
      <c r="C3" s="1"/>
      <c r="D3" s="1"/>
      <c r="E3" s="1"/>
      <c r="F3" s="1"/>
      <c r="G3" s="1"/>
      <c r="H3" s="1"/>
      <c r="I3" s="1"/>
      <c r="J3" s="1"/>
      <c r="K3" s="1"/>
      <c r="L3" s="1"/>
      <c r="M3" s="1"/>
      <c r="N3" s="1"/>
      <c r="O3" s="1"/>
      <c r="P3" s="1"/>
      <c r="Q3" s="1"/>
      <c r="R3" s="1"/>
      <c r="S3" s="1"/>
      <c r="T3" s="1"/>
      <c r="U3" s="1"/>
      <c r="V3" s="1"/>
      <c r="W3" s="1"/>
    </row>
    <row r="4" spans="1:23" x14ac:dyDescent="0.3">
      <c r="A4" s="1"/>
      <c r="B4" s="1"/>
      <c r="C4" s="1"/>
      <c r="D4" s="1"/>
      <c r="E4" s="1"/>
      <c r="F4" s="1"/>
      <c r="G4" s="1"/>
      <c r="H4" s="1"/>
      <c r="I4" s="1"/>
      <c r="J4" s="1"/>
      <c r="K4" s="1"/>
      <c r="L4" s="1"/>
      <c r="M4" s="1"/>
      <c r="N4" s="1"/>
      <c r="O4" s="1"/>
      <c r="P4" s="1"/>
      <c r="Q4" s="1"/>
      <c r="R4" s="1"/>
      <c r="S4" s="1"/>
      <c r="T4" s="1"/>
      <c r="U4" s="1"/>
      <c r="V4" s="1"/>
      <c r="W4" s="1"/>
    </row>
    <row r="5" spans="1:23" x14ac:dyDescent="0.3">
      <c r="A5" s="1"/>
      <c r="B5" s="1"/>
      <c r="C5" s="1"/>
      <c r="D5" s="1"/>
      <c r="E5" s="1"/>
      <c r="F5" s="1"/>
      <c r="G5" s="1"/>
      <c r="H5" s="1"/>
      <c r="I5" s="1"/>
      <c r="J5" s="1"/>
      <c r="K5" s="1"/>
      <c r="L5" s="1"/>
      <c r="M5" s="1"/>
      <c r="N5" s="1"/>
      <c r="O5" s="1"/>
      <c r="P5" s="1"/>
      <c r="Q5" s="1"/>
      <c r="R5" s="1"/>
      <c r="S5" s="1"/>
      <c r="T5" s="1"/>
      <c r="U5" s="1"/>
      <c r="V5" s="1"/>
      <c r="W5" s="1"/>
    </row>
    <row r="6" spans="1:23" x14ac:dyDescent="0.3">
      <c r="A6" s="1"/>
      <c r="B6" s="1"/>
      <c r="C6" s="1"/>
      <c r="D6" s="1"/>
      <c r="E6" s="1"/>
      <c r="F6" s="1"/>
      <c r="G6" s="1"/>
      <c r="H6" s="1"/>
      <c r="I6" s="1"/>
      <c r="J6" s="1"/>
      <c r="K6" s="1"/>
      <c r="L6" s="1"/>
      <c r="M6" s="1"/>
      <c r="N6" s="1"/>
      <c r="O6" s="1"/>
      <c r="P6" s="1"/>
      <c r="Q6" s="1"/>
      <c r="R6" s="1"/>
      <c r="S6" s="1"/>
      <c r="T6" s="1"/>
      <c r="U6" s="1"/>
      <c r="V6" s="1"/>
      <c r="W6" s="1"/>
    </row>
    <row r="7" spans="1:23" x14ac:dyDescent="0.3">
      <c r="A7" s="1"/>
      <c r="B7" s="1"/>
      <c r="C7" s="1"/>
      <c r="D7" s="1"/>
      <c r="E7" s="1"/>
      <c r="F7" s="1"/>
      <c r="G7" s="1"/>
      <c r="H7" s="1"/>
      <c r="I7" s="1"/>
      <c r="J7" s="1"/>
      <c r="K7" s="1"/>
      <c r="L7" s="1"/>
      <c r="M7" s="1"/>
      <c r="N7" s="1"/>
      <c r="O7" s="1"/>
      <c r="P7" s="1"/>
      <c r="Q7" s="1"/>
      <c r="R7" s="1"/>
      <c r="S7" s="1"/>
      <c r="T7" s="1"/>
      <c r="U7" s="1"/>
      <c r="V7" s="1"/>
      <c r="W7" s="1"/>
    </row>
    <row r="8" spans="1:23" x14ac:dyDescent="0.3">
      <c r="A8" s="1"/>
      <c r="B8" s="1"/>
      <c r="C8" s="1"/>
      <c r="D8" s="1"/>
      <c r="E8" s="1"/>
      <c r="F8" s="1"/>
      <c r="G8" s="1"/>
      <c r="H8" s="1"/>
      <c r="I8" s="1"/>
      <c r="J8" s="1"/>
      <c r="K8" s="1"/>
      <c r="L8" s="1"/>
      <c r="M8" s="1"/>
      <c r="N8" s="1"/>
      <c r="O8" s="1"/>
      <c r="P8" s="1"/>
      <c r="Q8" s="1"/>
      <c r="R8" s="1"/>
      <c r="S8" s="1"/>
      <c r="T8" s="1"/>
      <c r="U8" s="1"/>
      <c r="V8" s="1"/>
      <c r="W8" s="1"/>
    </row>
    <row r="9" spans="1:23" x14ac:dyDescent="0.3">
      <c r="A9" s="1"/>
      <c r="B9" s="1"/>
      <c r="C9" s="1"/>
      <c r="D9" s="1"/>
      <c r="E9" s="1"/>
      <c r="F9" s="1"/>
      <c r="G9" s="1"/>
      <c r="H9" s="1"/>
      <c r="I9" s="1"/>
      <c r="J9" s="1"/>
      <c r="K9" s="1"/>
      <c r="L9" s="1"/>
      <c r="M9" s="1"/>
      <c r="N9" s="1"/>
      <c r="O9" s="1"/>
      <c r="P9" s="1"/>
      <c r="Q9" s="1"/>
      <c r="R9" s="1"/>
      <c r="S9" s="1"/>
      <c r="T9" s="1"/>
      <c r="U9" s="1"/>
      <c r="V9" s="1"/>
      <c r="W9" s="1"/>
    </row>
    <row r="10" spans="1:23" x14ac:dyDescent="0.3">
      <c r="A10" s="1"/>
      <c r="B10" s="1"/>
      <c r="C10" s="1"/>
      <c r="D10" s="1"/>
      <c r="E10" s="1"/>
      <c r="F10" s="1"/>
      <c r="G10" s="1"/>
      <c r="H10" s="1"/>
      <c r="I10" s="1"/>
      <c r="J10" s="1"/>
      <c r="K10" s="1"/>
      <c r="L10" s="1"/>
      <c r="M10" s="1"/>
      <c r="N10" s="1"/>
      <c r="O10" s="1"/>
      <c r="P10" s="1"/>
      <c r="Q10" s="1"/>
      <c r="R10" s="1"/>
      <c r="S10" s="1"/>
      <c r="T10" s="1"/>
      <c r="U10" s="1"/>
      <c r="V10" s="1"/>
      <c r="W10" s="1"/>
    </row>
    <row r="11" spans="1:23" x14ac:dyDescent="0.3">
      <c r="A11" s="1"/>
      <c r="B11" s="1"/>
      <c r="C11" s="1"/>
      <c r="D11" s="1"/>
      <c r="E11" s="1"/>
      <c r="F11" s="1"/>
      <c r="G11" s="1"/>
      <c r="H11" s="1"/>
      <c r="I11" s="1"/>
      <c r="J11" s="1"/>
      <c r="K11" s="1"/>
      <c r="L11" s="1"/>
      <c r="M11" s="1"/>
      <c r="N11" s="1"/>
      <c r="O11" s="1"/>
      <c r="P11" s="1"/>
      <c r="Q11" s="1"/>
      <c r="R11" s="1"/>
      <c r="S11" s="1"/>
      <c r="T11" s="1"/>
      <c r="U11" s="1"/>
      <c r="V11" s="1"/>
      <c r="W11" s="1"/>
    </row>
    <row r="12" spans="1:23" x14ac:dyDescent="0.3">
      <c r="A12" s="1"/>
      <c r="B12" s="1"/>
      <c r="C12" s="1"/>
      <c r="D12" s="1"/>
      <c r="E12" s="1"/>
      <c r="F12" s="1"/>
      <c r="G12" s="1"/>
      <c r="H12" s="1"/>
      <c r="I12" s="1"/>
      <c r="J12" s="1"/>
      <c r="K12" s="1"/>
      <c r="L12" s="1"/>
      <c r="M12" s="1"/>
      <c r="N12" s="1"/>
      <c r="O12" s="1"/>
      <c r="P12" s="1"/>
      <c r="Q12" s="1"/>
      <c r="R12" s="1"/>
      <c r="S12" s="1"/>
      <c r="T12" s="1"/>
      <c r="U12" s="1"/>
      <c r="V12" s="1"/>
      <c r="W12" s="1"/>
    </row>
    <row r="13" spans="1:23" x14ac:dyDescent="0.3">
      <c r="A13" s="1"/>
      <c r="B13" s="1"/>
      <c r="C13" s="1"/>
      <c r="D13" s="1"/>
      <c r="E13" s="1"/>
      <c r="F13" s="1"/>
      <c r="G13" s="1"/>
      <c r="H13" s="1"/>
      <c r="I13" s="1"/>
      <c r="J13" s="1"/>
      <c r="K13" s="1"/>
      <c r="L13" s="1"/>
      <c r="M13" s="1"/>
      <c r="N13" s="1"/>
      <c r="O13" s="1"/>
      <c r="P13" s="1"/>
      <c r="Q13" s="1"/>
      <c r="R13" s="1"/>
      <c r="S13" s="1"/>
      <c r="T13" s="1"/>
      <c r="U13" s="1"/>
      <c r="V13" s="1"/>
      <c r="W13" s="1"/>
    </row>
    <row r="14" spans="1:23" x14ac:dyDescent="0.3">
      <c r="A14" s="1"/>
      <c r="B14" s="1"/>
      <c r="C14" s="1"/>
      <c r="D14" s="1"/>
      <c r="E14" s="1"/>
      <c r="F14" s="1"/>
      <c r="G14" s="1"/>
      <c r="H14" s="1"/>
      <c r="I14" s="1"/>
      <c r="J14" s="1"/>
      <c r="K14" s="1"/>
      <c r="L14" s="1"/>
      <c r="M14" s="1"/>
      <c r="N14" s="1"/>
      <c r="O14" s="1"/>
      <c r="P14" s="1"/>
      <c r="Q14" s="1"/>
      <c r="R14" s="1"/>
      <c r="S14" s="1"/>
      <c r="T14" s="1"/>
      <c r="U14" s="1"/>
      <c r="V14" s="1"/>
      <c r="W14" s="1"/>
    </row>
    <row r="15" spans="1:23" x14ac:dyDescent="0.3">
      <c r="A15" s="1"/>
      <c r="B15" s="1"/>
      <c r="C15" s="1"/>
      <c r="D15" s="1"/>
      <c r="E15" s="1"/>
      <c r="F15" s="1"/>
      <c r="G15" s="1"/>
      <c r="H15" s="1"/>
      <c r="I15" s="1"/>
      <c r="J15" s="1"/>
      <c r="K15" s="1"/>
      <c r="L15" s="1"/>
      <c r="M15" s="1"/>
      <c r="N15" s="1"/>
      <c r="O15" s="1"/>
      <c r="P15" s="1"/>
      <c r="Q15" s="1"/>
      <c r="R15" s="1"/>
      <c r="S15" s="1"/>
      <c r="T15" s="1"/>
      <c r="U15" s="1"/>
      <c r="V15" s="1"/>
      <c r="W15" s="1"/>
    </row>
    <row r="16" spans="1:23" x14ac:dyDescent="0.3">
      <c r="A16" s="1"/>
      <c r="B16" s="1"/>
      <c r="C16" s="1"/>
      <c r="D16" s="1"/>
      <c r="E16" s="1"/>
      <c r="F16" s="1"/>
      <c r="G16" s="1"/>
      <c r="H16" s="1"/>
      <c r="I16" s="1"/>
      <c r="J16" s="1"/>
      <c r="K16" s="1"/>
      <c r="L16" s="1"/>
      <c r="M16" s="1"/>
      <c r="N16" s="1"/>
      <c r="O16" s="1"/>
      <c r="P16" s="1"/>
      <c r="Q16" s="1"/>
      <c r="R16" s="1"/>
      <c r="S16" s="1"/>
      <c r="T16" s="1"/>
      <c r="U16" s="1"/>
      <c r="V16" s="1"/>
      <c r="W16" s="1"/>
    </row>
    <row r="17" spans="1:23" x14ac:dyDescent="0.3">
      <c r="A17" s="1"/>
      <c r="B17" s="1"/>
      <c r="C17" s="1"/>
      <c r="D17" s="1"/>
      <c r="E17" s="1"/>
      <c r="F17" s="1"/>
      <c r="G17" s="1"/>
      <c r="H17" s="1"/>
      <c r="I17" s="1"/>
      <c r="J17" s="1"/>
      <c r="K17" s="1"/>
      <c r="L17" s="1"/>
      <c r="M17" s="1"/>
      <c r="N17" s="1"/>
      <c r="O17" s="1"/>
      <c r="P17" s="1"/>
      <c r="Q17" s="1"/>
      <c r="R17" s="1"/>
      <c r="S17" s="1"/>
      <c r="T17" s="1"/>
      <c r="U17" s="1"/>
      <c r="V17" s="1"/>
      <c r="W17" s="1"/>
    </row>
    <row r="18" spans="1:23" x14ac:dyDescent="0.3">
      <c r="A18" s="1"/>
      <c r="B18" s="1"/>
      <c r="C18" s="1"/>
      <c r="D18" s="1"/>
      <c r="E18" s="1"/>
      <c r="F18" s="1"/>
      <c r="G18" s="1"/>
      <c r="H18" s="1"/>
      <c r="I18" s="1"/>
      <c r="J18" s="1"/>
      <c r="K18" s="1"/>
      <c r="L18" s="1"/>
      <c r="M18" s="1"/>
      <c r="N18" s="1"/>
      <c r="O18" s="1"/>
      <c r="P18" s="1"/>
      <c r="Q18" s="1"/>
      <c r="R18" s="1"/>
      <c r="S18" s="1"/>
      <c r="T18" s="1"/>
      <c r="U18" s="1"/>
      <c r="V18" s="1"/>
      <c r="W18" s="1"/>
    </row>
    <row r="19" spans="1:23" x14ac:dyDescent="0.3">
      <c r="A19" s="1"/>
      <c r="B19" s="1"/>
      <c r="C19" s="1"/>
      <c r="D19" s="1"/>
      <c r="E19" s="1"/>
      <c r="F19" s="1"/>
      <c r="G19" s="1"/>
      <c r="H19" s="1"/>
      <c r="I19" s="1"/>
      <c r="J19" s="1"/>
      <c r="K19" s="1"/>
      <c r="L19" s="1"/>
      <c r="M19" s="1"/>
      <c r="N19" s="1"/>
      <c r="O19" s="1">
        <v>6</v>
      </c>
      <c r="P19" s="1"/>
      <c r="Q19" s="1"/>
      <c r="R19" s="1"/>
      <c r="S19" s="1"/>
      <c r="T19" s="1"/>
      <c r="U19" s="1"/>
      <c r="V19" s="1"/>
      <c r="W19" s="1"/>
    </row>
    <row r="20" spans="1:23" x14ac:dyDescent="0.3">
      <c r="A20" s="1"/>
      <c r="B20" s="1"/>
      <c r="C20" s="1"/>
      <c r="D20" s="1"/>
      <c r="E20" s="1"/>
      <c r="F20" s="1"/>
      <c r="G20" s="1"/>
      <c r="H20" s="1"/>
      <c r="I20" s="1"/>
      <c r="J20" s="1"/>
      <c r="K20" s="1"/>
      <c r="L20" s="1"/>
      <c r="M20" s="1"/>
      <c r="N20" s="1"/>
      <c r="O20" s="1"/>
      <c r="P20" s="1"/>
      <c r="Q20" s="1"/>
      <c r="R20" s="1"/>
      <c r="S20" s="1"/>
      <c r="T20" s="1"/>
      <c r="U20" s="1"/>
      <c r="V20" s="1"/>
      <c r="W20" s="1"/>
    </row>
    <row r="21" spans="1:23" x14ac:dyDescent="0.3">
      <c r="A21" s="1"/>
      <c r="B21" s="1"/>
      <c r="C21" s="1"/>
      <c r="D21" s="1"/>
      <c r="E21" s="1"/>
      <c r="F21" s="1"/>
      <c r="G21" s="1"/>
      <c r="H21" s="1"/>
      <c r="I21" s="1"/>
      <c r="J21" s="1"/>
      <c r="K21" s="1"/>
      <c r="L21" s="1"/>
      <c r="M21" s="1"/>
      <c r="N21" s="1"/>
      <c r="O21" s="1"/>
      <c r="P21" s="1"/>
      <c r="Q21" s="1"/>
      <c r="R21" s="1"/>
      <c r="S21" s="1"/>
      <c r="T21" s="1"/>
      <c r="U21" s="1"/>
      <c r="V21" s="1"/>
      <c r="W21" s="1"/>
    </row>
    <row r="22" spans="1:23" x14ac:dyDescent="0.3">
      <c r="A22" s="1"/>
      <c r="B22" s="1"/>
      <c r="C22" s="1"/>
      <c r="D22" s="1"/>
      <c r="E22" s="1"/>
      <c r="F22" s="1"/>
      <c r="G22" s="1"/>
      <c r="H22" s="1"/>
      <c r="I22" s="1"/>
      <c r="J22" s="1"/>
      <c r="K22" s="1"/>
      <c r="L22" s="1"/>
      <c r="M22" s="1"/>
      <c r="N22" s="1"/>
      <c r="O22" s="1"/>
      <c r="P22" s="1"/>
      <c r="Q22" s="1"/>
      <c r="R22" s="1"/>
      <c r="S22" s="1"/>
      <c r="T22" s="1"/>
      <c r="U22" s="1"/>
      <c r="V22" s="1"/>
      <c r="W22" s="1"/>
    </row>
    <row r="23" spans="1:23" x14ac:dyDescent="0.3">
      <c r="A23" s="1"/>
      <c r="B23" s="1"/>
      <c r="C23" s="1"/>
      <c r="D23" s="1"/>
      <c r="E23" s="1"/>
      <c r="F23" s="1"/>
      <c r="G23" s="1"/>
      <c r="H23" s="1"/>
      <c r="I23" s="1"/>
      <c r="J23" s="1"/>
      <c r="K23" s="1"/>
      <c r="L23" s="1"/>
      <c r="M23" s="1"/>
      <c r="N23" s="1"/>
      <c r="O23" s="1"/>
      <c r="P23" s="1"/>
      <c r="Q23" s="1"/>
      <c r="R23" s="1"/>
      <c r="S23" s="1"/>
      <c r="T23" s="1"/>
      <c r="U23" s="1"/>
      <c r="V23" s="1"/>
      <c r="W23" s="1"/>
    </row>
    <row r="24" spans="1:23" x14ac:dyDescent="0.3">
      <c r="A24" s="1"/>
      <c r="B24" s="1"/>
      <c r="C24" s="1"/>
      <c r="D24" s="1"/>
      <c r="E24" s="1"/>
      <c r="F24" s="1"/>
      <c r="G24" s="1"/>
      <c r="H24" s="1"/>
      <c r="I24" s="1"/>
      <c r="J24" s="1"/>
      <c r="K24" s="1"/>
      <c r="L24" s="1"/>
      <c r="M24" s="1"/>
      <c r="N24" s="1"/>
      <c r="O24" s="1"/>
      <c r="P24" s="1"/>
      <c r="Q24" s="1"/>
      <c r="R24" s="1"/>
      <c r="S24" s="1"/>
      <c r="T24" s="1"/>
      <c r="U24" s="1"/>
      <c r="V24" s="1"/>
      <c r="W24" s="1"/>
    </row>
    <row r="25" spans="1:23" x14ac:dyDescent="0.3">
      <c r="A25" s="1"/>
      <c r="B25" s="1"/>
      <c r="C25" s="1"/>
      <c r="D25" s="1"/>
      <c r="E25" s="1"/>
      <c r="F25" s="1"/>
      <c r="G25" s="1"/>
      <c r="H25" s="1"/>
      <c r="I25" s="1"/>
      <c r="J25" s="1"/>
      <c r="K25" s="1"/>
      <c r="L25" s="1"/>
      <c r="M25" s="1"/>
      <c r="N25" s="1"/>
      <c r="O25" s="1"/>
      <c r="P25" s="1"/>
      <c r="Q25" s="1"/>
      <c r="R25" s="1"/>
      <c r="S25" s="1"/>
      <c r="T25" s="1"/>
      <c r="U25" s="1"/>
      <c r="V25" s="1"/>
      <c r="W25" s="1"/>
    </row>
    <row r="26" spans="1:23" x14ac:dyDescent="0.3">
      <c r="A26" s="1"/>
      <c r="B26" s="1"/>
      <c r="C26" s="1"/>
      <c r="D26" s="1"/>
      <c r="E26" s="1"/>
      <c r="F26" s="1"/>
      <c r="G26" s="1"/>
      <c r="H26" s="1"/>
      <c r="I26" s="1"/>
      <c r="J26" s="1"/>
      <c r="K26" s="1"/>
      <c r="L26" s="1"/>
      <c r="M26" s="1"/>
      <c r="N26" s="1"/>
      <c r="O26" s="1"/>
      <c r="P26" s="1"/>
      <c r="Q26" s="1"/>
      <c r="R26" s="1"/>
      <c r="S26" s="1"/>
      <c r="T26" s="1"/>
      <c r="U26" s="1"/>
      <c r="V26" s="1"/>
      <c r="W26" s="1"/>
    </row>
    <row r="27" spans="1:23" x14ac:dyDescent="0.3">
      <c r="A27" s="1"/>
      <c r="B27" s="1"/>
      <c r="C27" s="1"/>
      <c r="D27" s="1"/>
      <c r="E27" s="1"/>
      <c r="F27" s="1"/>
      <c r="G27" s="1"/>
      <c r="H27" s="1"/>
      <c r="I27" s="1"/>
      <c r="J27" s="1"/>
      <c r="K27" s="1"/>
      <c r="L27" s="1"/>
      <c r="M27" s="1"/>
      <c r="N27" s="1"/>
      <c r="O27" s="1"/>
      <c r="P27" s="1"/>
      <c r="Q27" s="1"/>
      <c r="R27" s="1"/>
      <c r="S27" s="1"/>
      <c r="T27" s="1"/>
      <c r="U27" s="1"/>
      <c r="V27" s="1"/>
      <c r="W27" s="1"/>
    </row>
    <row r="28" spans="1:23" x14ac:dyDescent="0.3">
      <c r="A28" s="1"/>
      <c r="B28" s="1"/>
      <c r="C28" s="1"/>
      <c r="D28" s="1"/>
      <c r="E28" s="1"/>
      <c r="F28" s="1"/>
      <c r="G28" s="1"/>
      <c r="H28" s="1"/>
      <c r="I28" s="1"/>
      <c r="J28" s="1"/>
      <c r="K28" s="1"/>
      <c r="L28" s="1"/>
      <c r="M28" s="1"/>
      <c r="N28" s="1"/>
      <c r="O28" s="1"/>
      <c r="P28" s="1"/>
      <c r="Q28" s="1"/>
      <c r="R28" s="1"/>
      <c r="S28" s="1"/>
      <c r="T28" s="1"/>
      <c r="U28" s="1"/>
      <c r="V28" s="1"/>
      <c r="W28" s="1"/>
    </row>
    <row r="29" spans="1:23" x14ac:dyDescent="0.3">
      <c r="A29" s="1"/>
      <c r="B29" s="1"/>
      <c r="C29" s="1"/>
      <c r="D29" s="1"/>
      <c r="E29" s="1"/>
      <c r="F29" s="1"/>
      <c r="G29" s="1"/>
      <c r="H29" s="1"/>
      <c r="I29" s="1"/>
      <c r="J29" s="1"/>
      <c r="K29" s="1"/>
      <c r="L29" s="1"/>
      <c r="M29" s="1"/>
      <c r="N29" s="1"/>
      <c r="O29" s="1"/>
      <c r="P29" s="1"/>
      <c r="Q29" s="1"/>
      <c r="R29" s="1"/>
      <c r="S29" s="1"/>
      <c r="T29" s="1"/>
      <c r="U29" s="1"/>
      <c r="V29" s="1"/>
      <c r="W29" s="1"/>
    </row>
    <row r="30" spans="1:23" x14ac:dyDescent="0.3">
      <c r="A30" s="1"/>
      <c r="B30" s="1"/>
      <c r="C30" s="1"/>
      <c r="D30" s="1"/>
      <c r="E30" s="1"/>
      <c r="F30" s="1"/>
      <c r="G30" s="1"/>
      <c r="H30" s="1"/>
      <c r="I30" s="1"/>
      <c r="J30" s="1"/>
      <c r="K30" s="1"/>
      <c r="L30" s="1"/>
      <c r="M30" s="1"/>
      <c r="N30" s="1"/>
      <c r="O30" s="1"/>
      <c r="P30" s="1"/>
      <c r="Q30" s="1"/>
      <c r="R30" s="1"/>
      <c r="S30" s="1"/>
      <c r="T30" s="1"/>
      <c r="U30" s="1"/>
      <c r="V30" s="1"/>
      <c r="W30"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E203246B9EBE44B8299FBF41B011046" ma:contentTypeVersion="4" ma:contentTypeDescription="Create a new document." ma:contentTypeScope="" ma:versionID="879e93527e90d230d6ff673ab59f8401">
  <xsd:schema xmlns:xsd="http://www.w3.org/2001/XMLSchema" xmlns:xs="http://www.w3.org/2001/XMLSchema" xmlns:p="http://schemas.microsoft.com/office/2006/metadata/properties" xmlns:ns3="0c7f35ef-6171-4638-a904-916338e06f1a" targetNamespace="http://schemas.microsoft.com/office/2006/metadata/properties" ma:root="true" ma:fieldsID="856f4153d0ae380f38d2c46cf1e809e9" ns3:_="">
    <xsd:import namespace="0c7f35ef-6171-4638-a904-916338e06f1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7f35ef-6171-4638-a904-916338e06f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BABC9FA2-D87A-41CF-8ED5-DF8A9AE28C8C}">
  <ds:schemaRefs>
    <ds:schemaRef ds:uri="http://purl.org/dc/elements/1.1/"/>
    <ds:schemaRef ds:uri="http://purl.org/dc/dcmitype/"/>
    <ds:schemaRef ds:uri="http://schemas.microsoft.com/office/2006/metadata/properties"/>
    <ds:schemaRef ds:uri="http://schemas.microsoft.com/office/infopath/2007/PartnerControls"/>
    <ds:schemaRef ds:uri="0c7f35ef-6171-4638-a904-916338e06f1a"/>
    <ds:schemaRef ds:uri="http://schemas.microsoft.com/office/2006/documentManagement/types"/>
    <ds:schemaRef ds:uri="http://www.w3.org/XML/1998/namespace"/>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5AF38998-F63C-48F4-AE93-198D7659EB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7f35ef-6171-4638-a904-916338e06f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1461FC-0E46-4540-A46D-DD8611C92BB2}">
  <ds:schemaRefs>
    <ds:schemaRef ds:uri="http://schemas.microsoft.com/sharepoint/v3/contenttype/forms"/>
  </ds:schemaRefs>
</ds:datastoreItem>
</file>

<file path=customXml/itemProps4.xml><?xml version="1.0" encoding="utf-8"?>
<ds:datastoreItem xmlns:ds="http://schemas.openxmlformats.org/officeDocument/2006/customXml" ds:itemID="{E0E904BD-4F4A-499A-AD8A-BE4E6269DE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analysis_pivots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c55659</cp:lastModifiedBy>
  <cp:lastPrinted>2025-07-23T19:13:06Z</cp:lastPrinted>
  <dcterms:created xsi:type="dcterms:W3CDTF">2015-06-05T18:17:20Z</dcterms:created>
  <dcterms:modified xsi:type="dcterms:W3CDTF">2026-05-05T16:14:11Z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0x0101001E203246B9EBE44B8299FBF41B011046</vt:lpwstr>
  </property>
</Properties>
</file>